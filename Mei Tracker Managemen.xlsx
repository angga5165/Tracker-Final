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4"/>
    <sheet state="visible" name="Input Harian" sheetId="2" r:id="rId5"/>
    <sheet state="visible" name="Rekap Harian" sheetId="3" r:id="rId6"/>
    <sheet state="visible" name="Analisis Kategori" sheetId="4" r:id="rId7"/>
    <sheet state="visible" name="Grafik" sheetId="5" r:id="rId8"/>
  </sheets>
  <definedNames/>
  <calcPr/>
  <extLst>
    <ext uri="GoogleSheetsCustomDataVersion2">
      <go:sheetsCustomData xmlns:go="http://customooxmlschemas.google.com/" r:id="rId9" roundtripDataChecksum="pdYTTCZoHSnnEn7VtymGJEYE5YGtU0WFJduPZIJnKS0="/>
    </ext>
  </extLst>
</workbook>
</file>

<file path=xl/sharedStrings.xml><?xml version="1.0" encoding="utf-8"?>
<sst xmlns="http://schemas.openxmlformats.org/spreadsheetml/2006/main" count="200" uniqueCount="96">
  <si>
    <t>DAILY EXPENSE TRACKER</t>
  </si>
  <si>
    <t>Pencatatan Pengeluaran Harian - Mei 2026</t>
  </si>
  <si>
    <t>Catat setiap pengeluaran harian Anda untuk memantau keuangan dengan lebih detail. Setiap transaksi tercatat dengan tanggal, kategori, dan jumlah.</t>
  </si>
  <si>
    <t>Fitur Utama:</t>
  </si>
  <si>
    <t>✓ Input pengeluaran harian per tanggal</t>
  </si>
  <si>
    <t>✓ Kategorisasi otomatis (Makanan, Transportasi, dll)</t>
  </si>
  <si>
    <t>✓ Total harian &amp; bulanan otomatis</t>
  </si>
  <si>
    <t>✓ Analisis pengeluaran per kategori</t>
  </si>
  <si>
    <t>✓ Grafik trend harian dan breakdown kategori</t>
  </si>
  <si>
    <t>✓ Highlight akhir pekan untuk perencanaan</t>
  </si>
  <si>
    <t>Daftar Sheet:</t>
  </si>
  <si>
    <t>Sheet</t>
  </si>
  <si>
    <t>Deskripsi</t>
  </si>
  <si>
    <t>Cover</t>
  </si>
  <si>
    <t>Halaman utama dan informasi</t>
  </si>
  <si>
    <t>Input Harian</t>
  </si>
  <si>
    <t>Input pengeluaran harian per tanggal &amp; kategori</t>
  </si>
  <si>
    <t>Rekap Harian</t>
  </si>
  <si>
    <t>Ringkasan total pengeluaran per hari</t>
  </si>
  <si>
    <t>Analisis Kategori</t>
  </si>
  <si>
    <t>Breakdown pengeluaran per kategori</t>
  </si>
  <si>
    <t>Grafik</t>
  </si>
  <si>
    <t>Visualisasi data pengeluaran</t>
  </si>
  <si>
    <t>Tips Penggunaan:</t>
  </si>
  <si>
    <t>1. Buka sheet 'Input Harian' dan masukkan setiap pengeluaran</t>
  </si>
  <si>
    <t>2. Pilih kategori dari dropdown yang tersedia</t>
  </si>
  <si>
    <t>3. Cek 'Rekap Harian' untuk total per hari</t>
  </si>
  <si>
    <t>4. Lihat 'Analisis Kategori' untuk breakdown</t>
  </si>
  <si>
    <t>5. Pantau grafik untuk trend pengeluaran</t>
  </si>
  <si>
    <t>INPUT PENGELUARAN HARIAN - APRIL 2026</t>
  </si>
  <si>
    <t>Tanggal</t>
  </si>
  <si>
    <t>Hari</t>
  </si>
  <si>
    <t>Kategori</t>
  </si>
  <si>
    <t>Keterangan</t>
  </si>
  <si>
    <t>Jumlah (Rp)</t>
  </si>
  <si>
    <t>Total Harian</t>
  </si>
  <si>
    <t>Selasa</t>
  </si>
  <si>
    <t>Lainnya</t>
  </si>
  <si>
    <t>Parkir UIN</t>
  </si>
  <si>
    <t>Makanan</t>
  </si>
  <si>
    <t>Nasi Ayam</t>
  </si>
  <si>
    <t>Telor Gulung</t>
  </si>
  <si>
    <t>Transportasi</t>
  </si>
  <si>
    <t>Bensin Migi</t>
  </si>
  <si>
    <t>Rabu</t>
  </si>
  <si>
    <t>Nasi Kuning + Nasi Ayam +Warteg</t>
  </si>
  <si>
    <t>Kopi + Pulpy Orange</t>
  </si>
  <si>
    <t>C1000</t>
  </si>
  <si>
    <t>Parkir UIN + PONRAN</t>
  </si>
  <si>
    <t>Bensin</t>
  </si>
  <si>
    <t>Kamis</t>
  </si>
  <si>
    <t>Nasi Kuning</t>
  </si>
  <si>
    <t>Parkir Blok M</t>
  </si>
  <si>
    <t>Jumat</t>
  </si>
  <si>
    <t>Sabtu</t>
  </si>
  <si>
    <t>Minggu</t>
  </si>
  <si>
    <t>Gacoan</t>
  </si>
  <si>
    <t>Senin</t>
  </si>
  <si>
    <t>Bubur Ayam</t>
  </si>
  <si>
    <t>Hiburan</t>
  </si>
  <si>
    <t>Kue</t>
  </si>
  <si>
    <t>Lukis-Lukis</t>
  </si>
  <si>
    <t>Nasi Ayam + VIT + Susu</t>
  </si>
  <si>
    <t>Parkir</t>
  </si>
  <si>
    <t>Uin Kelawai</t>
  </si>
  <si>
    <t>Nasi Ayam Popcorn</t>
  </si>
  <si>
    <t>Belanja</t>
  </si>
  <si>
    <t>Gunting Kuku</t>
  </si>
  <si>
    <t xml:space="preserve">Bensin </t>
  </si>
  <si>
    <t>Good Day</t>
  </si>
  <si>
    <t>kopi dan susu, nasi ayam</t>
  </si>
  <si>
    <t>parkir</t>
  </si>
  <si>
    <t>silverqueen</t>
  </si>
  <si>
    <t>Mila</t>
  </si>
  <si>
    <t>es teh</t>
  </si>
  <si>
    <t>TOTAL BULANAN</t>
  </si>
  <si>
    <t>REKAP PENGELUARAN HARIAN - Mei 2026</t>
  </si>
  <si>
    <t>Tagihan</t>
  </si>
  <si>
    <t>TOTAL</t>
  </si>
  <si>
    <t>RATA-RATA/HARI</t>
  </si>
  <si>
    <t>ANALISIS PENGELUARAN PER KATEGORI - APRIL 2026</t>
  </si>
  <si>
    <t>Total (Rp)</t>
  </si>
  <si>
    <t>% dari Total</t>
  </si>
  <si>
    <t>Rata-rata/Hari</t>
  </si>
  <si>
    <t>Transaksi</t>
  </si>
  <si>
    <t>Tagihan (Listrik/Air/Internet)</t>
  </si>
  <si>
    <t>100.0%</t>
  </si>
  <si>
    <t>BUDGET vs AKTUAL</t>
  </si>
  <si>
    <t>Budget (Rp)</t>
  </si>
  <si>
    <t>Aktual (Rp)</t>
  </si>
  <si>
    <t>Selisih (Rp)</t>
  </si>
  <si>
    <t>% Tercapai</t>
  </si>
  <si>
    <t>VISUALISASI PENGELUARAN - APRIL 2026</t>
  </si>
  <si>
    <t>Visual 1</t>
  </si>
  <si>
    <t>Visual 2</t>
  </si>
  <si>
    <t>Visual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</si>
</sst>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8">
    <font>
      <sz val="11.0"/>
      <color rgb="FF000000"/>
      <name val="Calibri"/>
      <scheme val="minor"/>
    </font>
    <font>
      <b/>
      <sz val="24.0"/>
      <color rgb="FF1F4E79"/>
      <name val="Cambria"/>
    </font>
    <font>
      <sz val="14.0"/>
      <color rgb="FF666666"/>
      <name val="Cambria"/>
    </font>
    <font>
      <sz val="11.0"/>
      <color rgb="FF666666"/>
      <name val="Cambria"/>
    </font>
    <font>
      <b/>
      <sz val="12.0"/>
      <color rgb="FF1F4E79"/>
      <name val="Cambria"/>
    </font>
    <font>
      <sz val="10.0"/>
      <color rgb="FF444444"/>
      <name val="Cambria"/>
    </font>
    <font>
      <b/>
      <sz val="10.0"/>
      <color theme="1"/>
      <name val="Cambria"/>
    </font>
    <font>
      <sz val="10.0"/>
      <color theme="1"/>
      <name val="Cambria"/>
    </font>
    <font>
      <b/>
      <sz val="18.0"/>
      <color rgb="FF1F4E79"/>
      <name val="Cambria"/>
    </font>
    <font>
      <b/>
      <sz val="11.0"/>
      <color rgb="FFFFFFFF"/>
      <name val="Cambria"/>
    </font>
    <font>
      <sz val="11.0"/>
      <color rgb="FF000000"/>
      <name val="Calibri"/>
    </font>
    <font>
      <sz val="10.0"/>
      <color rgb="FF0066CC"/>
      <name val="Cambria"/>
    </font>
    <font/>
    <font>
      <b/>
      <color theme="1"/>
      <name val="Cambria"/>
    </font>
    <font>
      <b/>
      <sz val="12.0"/>
      <color rgb="FFFFFFFF"/>
      <name val="Cambria"/>
    </font>
    <font>
      <sz val="9.0"/>
      <color theme="1"/>
      <name val="Cambria"/>
    </font>
    <font>
      <b/>
      <sz val="10.0"/>
      <color rgb="FFFFFFFF"/>
      <name val="Cambria"/>
    </font>
    <font>
      <sz val="18.0"/>
      <color theme="1"/>
      <name val="Times New Roman"/>
    </font>
  </fonts>
  <fills count="8">
    <fill>
      <patternFill patternType="none"/>
    </fill>
    <fill>
      <patternFill patternType="lightGray"/>
    </fill>
    <fill>
      <patternFill patternType="solid">
        <fgColor rgb="FFD6E3F8"/>
        <bgColor rgb="FFD6E3F8"/>
      </patternFill>
    </fill>
    <fill>
      <patternFill patternType="solid">
        <fgColor rgb="FF1F4E79"/>
        <bgColor rgb="FF1F4E79"/>
      </patternFill>
    </fill>
    <fill>
      <patternFill patternType="solid">
        <fgColor rgb="FF93C47D"/>
        <bgColor rgb="FF93C47D"/>
      </patternFill>
    </fill>
    <fill>
      <patternFill patternType="solid">
        <fgColor rgb="FF2E7D32"/>
        <bgColor rgb="FF2E7D32"/>
      </patternFill>
    </fill>
    <fill>
      <patternFill patternType="solid">
        <fgColor rgb="FFFFEBEE"/>
        <bgColor rgb="FFFFEBEE"/>
      </patternFill>
    </fill>
    <fill>
      <patternFill patternType="solid">
        <fgColor rgb="FF1565C0"/>
        <bgColor rgb="FF1565C0"/>
      </patternFill>
    </fill>
  </fills>
  <borders count="10">
    <border/>
    <border>
      <left/>
      <right/>
      <top/>
      <bottom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D0D0D0"/>
      </left>
      <right style="thin">
        <color rgb="FFD0D0D0"/>
      </right>
      <top style="thin">
        <color rgb="FFD0D0D0"/>
      </top>
    </border>
    <border>
      <left style="thin">
        <color rgb="FFD0D0D0"/>
      </left>
      <right style="thin">
        <color rgb="FFD0D0D0"/>
      </right>
    </border>
    <border>
      <left style="thin">
        <color rgb="FFD0D0D0"/>
      </left>
      <right style="thin">
        <color rgb="FFD0D0D0"/>
      </right>
      <bottom style="thin">
        <color rgb="FFD0D0D0"/>
      </bottom>
    </border>
    <border>
      <left/>
      <top/>
      <bottom/>
    </border>
    <border>
      <top/>
      <bottom/>
    </border>
    <border>
      <left style="thin">
        <color rgb="FFD0D0D0"/>
      </left>
      <top style="thin">
        <color rgb="FFD0D0D0"/>
      </top>
      <bottom style="thin">
        <color rgb="FFD0D0D0"/>
      </bottom>
    </border>
    <border>
      <top style="thin">
        <color rgb="FFD0D0D0"/>
      </top>
      <bottom style="thin">
        <color rgb="FFD0D0D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1" fillId="2" fontId="6" numFmtId="0" xfId="0" applyAlignment="1" applyBorder="1" applyFill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0" fillId="0" fontId="8" numFmtId="0" xfId="0" applyAlignment="1" applyFont="1">
      <alignment horizontal="center" shrinkToFit="0" vertical="center" wrapText="0"/>
    </xf>
    <xf borderId="2" fillId="3" fontId="9" numFmtId="0" xfId="0" applyAlignment="1" applyBorder="1" applyFill="1" applyFont="1">
      <alignment horizontal="center" shrinkToFit="0" vertical="center" wrapText="0"/>
    </xf>
    <xf borderId="3" fillId="0" fontId="6" numFmtId="0" xfId="0" applyAlignment="1" applyBorder="1" applyFont="1">
      <alignment horizontal="center" readingOrder="0" shrinkToFit="0" vertical="center" wrapText="0"/>
    </xf>
    <xf borderId="3" fillId="0" fontId="7" numFmtId="0" xfId="0" applyAlignment="1" applyBorder="1" applyFont="1">
      <alignment horizontal="center" shrinkToFit="0" vertical="center" wrapText="0"/>
    </xf>
    <xf borderId="2" fillId="0" fontId="10" numFmtId="0" xfId="0" applyAlignment="1" applyBorder="1" applyFont="1">
      <alignment horizontal="center" readingOrder="0" shrinkToFit="0" vertical="center" wrapText="0"/>
    </xf>
    <xf borderId="2" fillId="0" fontId="11" numFmtId="0" xfId="0" applyAlignment="1" applyBorder="1" applyFont="1">
      <alignment horizontal="left" readingOrder="0" shrinkToFit="0" vertical="center" wrapText="0"/>
    </xf>
    <xf borderId="2" fillId="0" fontId="11" numFmtId="0" xfId="0" applyAlignment="1" applyBorder="1" applyFont="1">
      <alignment horizontal="right" readingOrder="0" shrinkToFit="0" vertical="center" wrapText="0"/>
    </xf>
    <xf borderId="3" fillId="2" fontId="6" numFmtId="0" xfId="0" applyAlignment="1" applyBorder="1" applyFont="1">
      <alignment horizontal="center" shrinkToFit="0" vertical="center" wrapText="0"/>
    </xf>
    <xf borderId="4" fillId="0" fontId="12" numFmtId="0" xfId="0" applyBorder="1" applyFont="1"/>
    <xf borderId="5" fillId="0" fontId="12" numFmtId="0" xfId="0" applyBorder="1" applyFont="1"/>
    <xf borderId="2" fillId="0" fontId="10" numFmtId="0" xfId="0" applyAlignment="1" applyBorder="1" applyFont="1">
      <alignment horizontal="center" shrinkToFit="0" vertical="center" wrapText="0"/>
    </xf>
    <xf borderId="2" fillId="0" fontId="11" numFmtId="0" xfId="0" applyAlignment="1" applyBorder="1" applyFont="1">
      <alignment horizontal="left" shrinkToFit="0" vertical="center" wrapText="0"/>
    </xf>
    <xf borderId="2" fillId="0" fontId="11" numFmtId="0" xfId="0" applyAlignment="1" applyBorder="1" applyFont="1">
      <alignment horizontal="right" shrinkToFit="0" vertical="center" wrapText="0"/>
    </xf>
    <xf borderId="3" fillId="0" fontId="13" numFmtId="0" xfId="0" applyAlignment="1" applyBorder="1" applyFont="1">
      <alignment horizontal="center" vertical="center"/>
    </xf>
    <xf borderId="3" fillId="4" fontId="7" numFmtId="0" xfId="0" applyAlignment="1" applyBorder="1" applyFill="1" applyFont="1">
      <alignment horizontal="center" shrinkToFit="0" vertical="center" wrapText="0"/>
    </xf>
    <xf borderId="2" fillId="4" fontId="10" numFmtId="0" xfId="0" applyAlignment="1" applyBorder="1" applyFont="1">
      <alignment horizontal="center" shrinkToFit="0" vertical="center" wrapText="0"/>
    </xf>
    <xf borderId="2" fillId="4" fontId="11" numFmtId="0" xfId="0" applyAlignment="1" applyBorder="1" applyFont="1">
      <alignment horizontal="left" shrinkToFit="0" vertical="center" wrapText="0"/>
    </xf>
    <xf borderId="2" fillId="4" fontId="11" numFmtId="0" xfId="0" applyAlignment="1" applyBorder="1" applyFont="1">
      <alignment horizontal="right" shrinkToFit="0" vertical="center" wrapText="0"/>
    </xf>
    <xf borderId="3" fillId="4" fontId="13" numFmtId="0" xfId="0" applyAlignment="1" applyBorder="1" applyFont="1">
      <alignment horizontal="center" readingOrder="0" vertical="center"/>
    </xf>
    <xf borderId="3" fillId="4" fontId="7" numFmtId="0" xfId="0" applyAlignment="1" applyBorder="1" applyFont="1">
      <alignment horizontal="center" readingOrder="0" shrinkToFit="0" vertical="center" wrapText="0"/>
    </xf>
    <xf borderId="2" fillId="4" fontId="10" numFmtId="0" xfId="0" applyAlignment="1" applyBorder="1" applyFont="1">
      <alignment horizontal="center" readingOrder="0" shrinkToFit="0" vertical="center" wrapText="0"/>
    </xf>
    <xf borderId="2" fillId="4" fontId="11" numFmtId="0" xfId="0" applyAlignment="1" applyBorder="1" applyFont="1">
      <alignment horizontal="left" readingOrder="0" shrinkToFit="0" vertical="center" wrapText="0"/>
    </xf>
    <xf borderId="2" fillId="4" fontId="11" numFmtId="0" xfId="0" applyAlignment="1" applyBorder="1" applyFont="1">
      <alignment horizontal="right" readingOrder="0" shrinkToFit="0" vertical="center" wrapText="0"/>
    </xf>
    <xf borderId="3" fillId="0" fontId="13" numFmtId="0" xfId="0" applyAlignment="1" applyBorder="1" applyFont="1">
      <alignment horizontal="center" readingOrder="0" vertical="center"/>
    </xf>
    <xf borderId="3" fillId="0" fontId="7" numFmtId="0" xfId="0" applyAlignment="1" applyBorder="1" applyFont="1">
      <alignment horizontal="center" readingOrder="0" shrinkToFit="0" vertical="center" wrapText="0"/>
    </xf>
    <xf borderId="6" fillId="5" fontId="14" numFmtId="0" xfId="0" applyAlignment="1" applyBorder="1" applyFill="1" applyFont="1">
      <alignment horizontal="center" shrinkToFit="0" vertical="center" wrapText="0"/>
    </xf>
    <xf borderId="7" fillId="0" fontId="12" numFmtId="0" xfId="0" applyBorder="1" applyFont="1"/>
    <xf borderId="1" fillId="5" fontId="14" numFmtId="0" xfId="0" applyAlignment="1" applyBorder="1" applyFont="1">
      <alignment horizontal="right" shrinkToFit="0" vertical="center" wrapText="0"/>
    </xf>
    <xf borderId="0" fillId="0" fontId="8" numFmtId="0" xfId="0" applyAlignment="1" applyFont="1">
      <alignment horizontal="center" readingOrder="0" shrinkToFit="0" vertical="center" wrapText="0"/>
    </xf>
    <xf borderId="2" fillId="0" fontId="7" numFmtId="0" xfId="0" applyAlignment="1" applyBorder="1" applyFont="1">
      <alignment horizontal="center" readingOrder="0" shrinkToFit="0" vertical="center" wrapText="0"/>
    </xf>
    <xf borderId="2" fillId="0" fontId="7" numFmtId="0" xfId="0" applyAlignment="1" applyBorder="1" applyFont="1">
      <alignment horizontal="center" shrinkToFit="0" vertical="center" wrapText="0"/>
    </xf>
    <xf borderId="2" fillId="0" fontId="15" numFmtId="0" xfId="0" applyAlignment="1" applyBorder="1" applyFont="1">
      <alignment horizontal="right" shrinkToFit="0" vertical="center" wrapText="0"/>
    </xf>
    <xf borderId="2" fillId="2" fontId="6" numFmtId="0" xfId="0" applyAlignment="1" applyBorder="1" applyFont="1">
      <alignment horizontal="right" shrinkToFit="0" vertical="center" wrapText="0"/>
    </xf>
    <xf borderId="2" fillId="6" fontId="7" numFmtId="0" xfId="0" applyAlignment="1" applyBorder="1" applyFill="1" applyFont="1">
      <alignment horizontal="center" shrinkToFit="0" vertical="center" wrapText="0"/>
    </xf>
    <xf borderId="8" fillId="3" fontId="9" numFmtId="0" xfId="0" applyAlignment="1" applyBorder="1" applyFont="1">
      <alignment horizontal="center" shrinkToFit="0" vertical="center" wrapText="0"/>
    </xf>
    <xf borderId="9" fillId="0" fontId="12" numFmtId="0" xfId="0" applyBorder="1" applyFont="1"/>
    <xf borderId="2" fillId="3" fontId="16" numFmtId="0" xfId="0" applyAlignment="1" applyBorder="1" applyFont="1">
      <alignment horizontal="right" shrinkToFit="0" vertical="center" wrapText="0"/>
    </xf>
    <xf borderId="8" fillId="7" fontId="9" numFmtId="0" xfId="0" applyAlignment="1" applyBorder="1" applyFill="1" applyFont="1">
      <alignment horizontal="center" shrinkToFit="0" vertical="center" wrapText="0"/>
    </xf>
    <xf borderId="2" fillId="7" fontId="16" numFmtId="0" xfId="0" applyAlignment="1" applyBorder="1" applyFont="1">
      <alignment horizontal="right" shrinkToFit="0" vertical="center" wrapText="0"/>
    </xf>
    <xf borderId="2" fillId="0" fontId="7" numFmtId="0" xfId="0" applyAlignment="1" applyBorder="1" applyFont="1">
      <alignment shrinkToFit="0" vertical="bottom" wrapText="0"/>
    </xf>
    <xf borderId="2" fillId="0" fontId="7" numFmtId="0" xfId="0" applyAlignment="1" applyBorder="1" applyFont="1">
      <alignment horizontal="right" shrinkToFit="0" vertical="center" wrapText="0"/>
    </xf>
    <xf borderId="2" fillId="0" fontId="7" numFmtId="164" xfId="0" applyAlignment="1" applyBorder="1" applyFont="1" applyNumberFormat="1">
      <alignment horizontal="right" shrinkToFit="0" vertical="center" wrapText="0"/>
    </xf>
    <xf borderId="2" fillId="5" fontId="9" numFmtId="0" xfId="0" applyAlignment="1" applyBorder="1" applyFont="1">
      <alignment horizontal="right" shrinkToFit="0" vertical="center" wrapText="0"/>
    </xf>
    <xf borderId="2" fillId="3" fontId="16" numFmtId="0" xfId="0" applyAlignment="1" applyBorder="1" applyFont="1">
      <alignment horizontal="center" shrinkToFit="0" vertical="center" wrapText="0"/>
    </xf>
    <xf borderId="2" fillId="5" fontId="9" numFmtId="164" xfId="0" applyAlignment="1" applyBorder="1" applyFont="1" applyNumberFormat="1">
      <alignment horizontal="right" shrinkToFit="0" vertical="center" wrapText="0"/>
    </xf>
    <xf borderId="0" fillId="0" fontId="1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Trend Pengeluaran Harian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Total Harian</c:v>
          </c:tx>
          <c:spPr>
            <a:ln cmpd="sng" w="38100">
              <a:solidFill>
                <a:srgbClr val="4A7EBB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'Rekap Harian'!$B$5:$B$24</c:f>
            </c:strRef>
          </c:cat>
          <c:val>
            <c:numRef>
              <c:f>'Rekap Harian'!$J$5:$J$24</c:f>
              <c:numCache/>
            </c:numRef>
          </c:val>
          <c:smooth val="1"/>
        </c:ser>
        <c:axId val="55806977"/>
        <c:axId val="1077405000"/>
      </c:lineChart>
      <c:catAx>
        <c:axId val="558069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Tanggal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077405000"/>
      </c:catAx>
      <c:valAx>
        <c:axId val="10774050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Jumlah (Rp)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55806977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Breakdown per Kategori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'Analisis Kategori'!$C$4</c:f>
            </c:strRef>
          </c:tx>
          <c:dPt>
            <c:idx val="0"/>
            <c:spPr>
              <a:solidFill>
                <a:srgbClr val="4672A8"/>
              </a:solidFill>
            </c:spPr>
          </c:dPt>
          <c:dPt>
            <c:idx val="1"/>
            <c:spPr>
              <a:solidFill>
                <a:srgbClr val="AB4744"/>
              </a:solidFill>
            </c:spPr>
          </c:dPt>
          <c:dPt>
            <c:idx val="2"/>
            <c:spPr>
              <a:solidFill>
                <a:srgbClr val="8AA64F"/>
              </a:solidFill>
            </c:spPr>
          </c:dPt>
          <c:dPt>
            <c:idx val="3"/>
            <c:spPr>
              <a:solidFill>
                <a:srgbClr val="725990"/>
              </a:solidFill>
            </c:spPr>
          </c:dPt>
          <c:dPt>
            <c:idx val="4"/>
            <c:spPr>
              <a:solidFill>
                <a:srgbClr val="4299B0"/>
              </a:solidFill>
            </c:spPr>
          </c:dPt>
          <c:dPt>
            <c:idx val="5"/>
            <c:spPr>
              <a:solidFill>
                <a:srgbClr val="DC853E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4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5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'Analisis Kategori'!$B$5:$B$10</c:f>
            </c:strRef>
          </c:cat>
          <c:val>
            <c:numRef>
              <c:f>'Analisis Kategori'!$C$5:$C$10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Perbandingan Pengeluaran per Kategori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Total (Rp)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cat>
            <c:strRef>
              <c:f>'Analisis Kategori'!$B$5:$B$10</c:f>
            </c:strRef>
          </c:cat>
          <c:val>
            <c:numRef>
              <c:f>'Analisis Kategori'!$C$5:$C$10</c:f>
              <c:numCache/>
            </c:numRef>
          </c:val>
        </c:ser>
        <c:axId val="546538769"/>
        <c:axId val="1728396857"/>
      </c:barChart>
      <c:catAx>
        <c:axId val="5465387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728396857"/>
      </c:catAx>
      <c:valAx>
        <c:axId val="17283968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Jumlah (Rp)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546538769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581025</xdr:colOff>
      <xdr:row>4</xdr:row>
      <xdr:rowOff>0</xdr:rowOff>
    </xdr:from>
    <xdr:ext cx="6400800" cy="3895725"/>
    <xdr:graphicFrame>
      <xdr:nvGraphicFramePr>
        <xdr:cNvPr id="1299421196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571500</xdr:colOff>
      <xdr:row>4</xdr:row>
      <xdr:rowOff>0</xdr:rowOff>
    </xdr:from>
    <xdr:ext cx="5276850" cy="3848100"/>
    <xdr:graphicFrame>
      <xdr:nvGraphicFramePr>
        <xdr:cNvPr id="72317890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514350</xdr:colOff>
      <xdr:row>26</xdr:row>
      <xdr:rowOff>9525</xdr:rowOff>
    </xdr:from>
    <xdr:ext cx="6400800" cy="3895725"/>
    <xdr:graphicFrame>
      <xdr:nvGraphicFramePr>
        <xdr:cNvPr id="825629135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5.0"/>
    <col customWidth="1" min="2" max="2" width="22.0"/>
    <col customWidth="1" min="3" max="3" width="50.0"/>
    <col customWidth="1" min="4" max="8" width="15.0"/>
    <col customWidth="1" min="9" max="26" width="8.71"/>
  </cols>
  <sheetData>
    <row r="2" ht="39.75" customHeight="1">
      <c r="B2" s="1" t="s">
        <v>0</v>
      </c>
    </row>
    <row r="3">
      <c r="B3" s="2" t="s">
        <v>1</v>
      </c>
    </row>
    <row r="5" ht="15.0" customHeight="1">
      <c r="B5" s="3" t="s">
        <v>2</v>
      </c>
    </row>
    <row r="9">
      <c r="B9" s="4" t="s">
        <v>3</v>
      </c>
    </row>
    <row r="10">
      <c r="B10" s="5" t="s">
        <v>4</v>
      </c>
    </row>
    <row r="11">
      <c r="B11" s="5" t="s">
        <v>5</v>
      </c>
    </row>
    <row r="12">
      <c r="B12" s="5" t="s">
        <v>6</v>
      </c>
    </row>
    <row r="13">
      <c r="B13" s="5" t="s">
        <v>7</v>
      </c>
    </row>
    <row r="14">
      <c r="B14" s="5" t="s">
        <v>8</v>
      </c>
    </row>
    <row r="15">
      <c r="B15" s="5" t="s">
        <v>9</v>
      </c>
    </row>
    <row r="17">
      <c r="B17" s="4" t="s">
        <v>10</v>
      </c>
    </row>
    <row r="18">
      <c r="B18" s="6" t="s">
        <v>11</v>
      </c>
      <c r="C18" s="6" t="s">
        <v>12</v>
      </c>
    </row>
    <row r="19">
      <c r="B19" s="7" t="s">
        <v>13</v>
      </c>
      <c r="C19" s="7" t="s">
        <v>14</v>
      </c>
    </row>
    <row r="20">
      <c r="B20" s="7" t="s">
        <v>15</v>
      </c>
      <c r="C20" s="7" t="s">
        <v>16</v>
      </c>
    </row>
    <row r="21" ht="15.75" customHeight="1">
      <c r="B21" s="7" t="s">
        <v>17</v>
      </c>
      <c r="C21" s="7" t="s">
        <v>18</v>
      </c>
    </row>
    <row r="22" ht="15.75" customHeight="1">
      <c r="B22" s="7" t="s">
        <v>19</v>
      </c>
      <c r="C22" s="7" t="s">
        <v>20</v>
      </c>
    </row>
    <row r="23" ht="15.75" customHeight="1">
      <c r="B23" s="7" t="s">
        <v>21</v>
      </c>
      <c r="C23" s="7" t="s">
        <v>22</v>
      </c>
    </row>
    <row r="24" ht="15.75" customHeight="1"/>
    <row r="25" ht="15.75" customHeight="1">
      <c r="B25" s="4" t="s">
        <v>23</v>
      </c>
    </row>
    <row r="26" ht="15.75" customHeight="1">
      <c r="B26" s="5" t="s">
        <v>24</v>
      </c>
    </row>
    <row r="27" ht="15.75" customHeight="1">
      <c r="B27" s="5" t="s">
        <v>25</v>
      </c>
    </row>
    <row r="28" ht="15.75" customHeight="1">
      <c r="B28" s="5" t="s">
        <v>26</v>
      </c>
    </row>
    <row r="29" ht="15.75" customHeight="1">
      <c r="B29" s="5" t="s">
        <v>27</v>
      </c>
    </row>
    <row r="30" ht="15.75" customHeight="1">
      <c r="B30" s="5" t="s">
        <v>28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H2"/>
    <mergeCell ref="B3:H3"/>
    <mergeCell ref="B5:H7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8.0"/>
    <col customWidth="1" min="3" max="3" width="10.0"/>
    <col customWidth="1" min="4" max="4" width="28.0"/>
    <col customWidth="1" min="5" max="5" width="30.0"/>
    <col customWidth="1" min="6" max="7" width="16.0"/>
    <col customWidth="1" min="8" max="26" width="8.71"/>
  </cols>
  <sheetData>
    <row r="2" ht="30.0" customHeight="1">
      <c r="B2" s="8" t="s">
        <v>29</v>
      </c>
    </row>
    <row r="4">
      <c r="B4" s="9" t="s">
        <v>30</v>
      </c>
      <c r="C4" s="9" t="s">
        <v>31</v>
      </c>
      <c r="D4" s="9" t="s">
        <v>32</v>
      </c>
      <c r="E4" s="9" t="s">
        <v>33</v>
      </c>
      <c r="F4" s="9" t="s">
        <v>34</v>
      </c>
      <c r="G4" s="9" t="s">
        <v>35</v>
      </c>
    </row>
    <row r="5" ht="15.75" customHeight="1">
      <c r="B5" s="10">
        <v>12.0</v>
      </c>
      <c r="C5" s="11" t="s">
        <v>36</v>
      </c>
      <c r="D5" s="12" t="s">
        <v>37</v>
      </c>
      <c r="E5" s="13" t="s">
        <v>38</v>
      </c>
      <c r="F5" s="14">
        <v>1000.0</v>
      </c>
      <c r="G5" s="15">
        <f>SUM(F5:F9)</f>
        <v>41000</v>
      </c>
    </row>
    <row r="6" ht="15.75" customHeight="1">
      <c r="B6" s="16"/>
      <c r="C6" s="16"/>
      <c r="D6" s="12" t="s">
        <v>39</v>
      </c>
      <c r="E6" s="13" t="s">
        <v>40</v>
      </c>
      <c r="F6" s="14">
        <v>13000.0</v>
      </c>
      <c r="G6" s="16"/>
    </row>
    <row r="7" ht="15.75" customHeight="1">
      <c r="B7" s="16"/>
      <c r="C7" s="16"/>
      <c r="D7" s="12" t="s">
        <v>39</v>
      </c>
      <c r="E7" s="13" t="s">
        <v>41</v>
      </c>
      <c r="F7" s="14">
        <v>5000.0</v>
      </c>
      <c r="G7" s="16"/>
    </row>
    <row r="8" ht="15.75" customHeight="1">
      <c r="B8" s="16"/>
      <c r="C8" s="16"/>
      <c r="D8" s="12" t="s">
        <v>42</v>
      </c>
      <c r="E8" s="13" t="s">
        <v>43</v>
      </c>
      <c r="F8" s="14">
        <v>22000.0</v>
      </c>
      <c r="G8" s="16"/>
    </row>
    <row r="9" ht="15.75" customHeight="1">
      <c r="B9" s="17"/>
      <c r="C9" s="17"/>
      <c r="D9" s="18"/>
      <c r="E9" s="19"/>
      <c r="F9" s="20"/>
      <c r="G9" s="17"/>
    </row>
    <row r="10" ht="15.75" customHeight="1">
      <c r="B10" s="10">
        <v>13.0</v>
      </c>
      <c r="C10" s="11" t="s">
        <v>44</v>
      </c>
      <c r="D10" s="12" t="s">
        <v>39</v>
      </c>
      <c r="E10" s="13" t="s">
        <v>45</v>
      </c>
      <c r="F10" s="14">
        <v>41000.0</v>
      </c>
      <c r="G10" s="15">
        <f>SUM(F10:F14)</f>
        <v>96000</v>
      </c>
    </row>
    <row r="11" ht="15.75" customHeight="1">
      <c r="B11" s="16"/>
      <c r="C11" s="16"/>
      <c r="D11" s="12" t="s">
        <v>39</v>
      </c>
      <c r="E11" s="13" t="s">
        <v>46</v>
      </c>
      <c r="F11" s="14">
        <v>18000.0</v>
      </c>
      <c r="G11" s="16"/>
    </row>
    <row r="12" ht="15.75" customHeight="1">
      <c r="B12" s="16"/>
      <c r="C12" s="16"/>
      <c r="D12" s="12" t="s">
        <v>39</v>
      </c>
      <c r="E12" s="13" t="s">
        <v>47</v>
      </c>
      <c r="F12" s="14">
        <v>8000.0</v>
      </c>
      <c r="G12" s="16"/>
    </row>
    <row r="13" ht="15.75" customHeight="1">
      <c r="B13" s="16"/>
      <c r="C13" s="16"/>
      <c r="D13" s="12" t="s">
        <v>37</v>
      </c>
      <c r="E13" s="13" t="s">
        <v>48</v>
      </c>
      <c r="F13" s="14">
        <v>7000.0</v>
      </c>
      <c r="G13" s="16"/>
    </row>
    <row r="14" ht="15.75" customHeight="1">
      <c r="B14" s="17"/>
      <c r="C14" s="17"/>
      <c r="D14" s="12" t="s">
        <v>42</v>
      </c>
      <c r="E14" s="13" t="s">
        <v>49</v>
      </c>
      <c r="F14" s="14">
        <v>22000.0</v>
      </c>
      <c r="G14" s="17"/>
    </row>
    <row r="15" ht="15.75" customHeight="1">
      <c r="B15" s="21">
        <v>14.0</v>
      </c>
      <c r="C15" s="11" t="s">
        <v>50</v>
      </c>
      <c r="D15" s="12" t="s">
        <v>39</v>
      </c>
      <c r="E15" s="13" t="s">
        <v>51</v>
      </c>
      <c r="F15" s="14">
        <v>12000.0</v>
      </c>
      <c r="G15" s="15">
        <f>SUM(F15:F19)</f>
        <v>33000</v>
      </c>
    </row>
    <row r="16" ht="15.75" customHeight="1">
      <c r="B16" s="16"/>
      <c r="C16" s="16"/>
      <c r="D16" s="12" t="s">
        <v>42</v>
      </c>
      <c r="E16" s="13" t="s">
        <v>49</v>
      </c>
      <c r="F16" s="14">
        <v>15000.0</v>
      </c>
      <c r="G16" s="16"/>
    </row>
    <row r="17" ht="15.75" customHeight="1">
      <c r="B17" s="16"/>
      <c r="C17" s="16"/>
      <c r="D17" s="12" t="s">
        <v>37</v>
      </c>
      <c r="E17" s="13" t="s">
        <v>52</v>
      </c>
      <c r="F17" s="14">
        <v>6000.0</v>
      </c>
      <c r="G17" s="16"/>
    </row>
    <row r="18" ht="15.75" customHeight="1">
      <c r="B18" s="16"/>
      <c r="C18" s="16"/>
      <c r="D18" s="18"/>
      <c r="E18" s="19"/>
      <c r="F18" s="20"/>
      <c r="G18" s="16"/>
    </row>
    <row r="19" ht="15.75" customHeight="1">
      <c r="B19" s="17"/>
      <c r="C19" s="17"/>
      <c r="D19" s="18"/>
      <c r="E19" s="19"/>
      <c r="F19" s="20"/>
      <c r="G19" s="17"/>
    </row>
    <row r="20" ht="15.75" customHeight="1">
      <c r="B20" s="21">
        <v>15.0</v>
      </c>
      <c r="C20" s="22" t="s">
        <v>53</v>
      </c>
      <c r="D20" s="23"/>
      <c r="E20" s="24"/>
      <c r="F20" s="25"/>
      <c r="G20" s="15">
        <f>SUM(F20:F24)</f>
        <v>0</v>
      </c>
    </row>
    <row r="21" ht="15.75" customHeight="1">
      <c r="B21" s="16"/>
      <c r="C21" s="16"/>
      <c r="D21" s="23"/>
      <c r="E21" s="24"/>
      <c r="F21" s="25"/>
      <c r="G21" s="16"/>
    </row>
    <row r="22" ht="15.75" customHeight="1">
      <c r="B22" s="16"/>
      <c r="C22" s="16"/>
      <c r="D22" s="23"/>
      <c r="E22" s="24"/>
      <c r="F22" s="25"/>
      <c r="G22" s="16"/>
    </row>
    <row r="23" ht="15.75" customHeight="1">
      <c r="B23" s="16"/>
      <c r="C23" s="16"/>
      <c r="D23" s="23"/>
      <c r="E23" s="24"/>
      <c r="F23" s="25"/>
      <c r="G23" s="16"/>
    </row>
    <row r="24" ht="15.75" customHeight="1">
      <c r="B24" s="17"/>
      <c r="C24" s="17"/>
      <c r="D24" s="23"/>
      <c r="E24" s="24"/>
      <c r="F24" s="25"/>
      <c r="G24" s="17"/>
    </row>
    <row r="25" ht="15.75" customHeight="1">
      <c r="B25" s="21">
        <v>16.0</v>
      </c>
      <c r="C25" s="22" t="s">
        <v>54</v>
      </c>
      <c r="D25" s="23"/>
      <c r="E25" s="24"/>
      <c r="F25" s="25"/>
      <c r="G25" s="15">
        <f>SUM(F25:F29)</f>
        <v>0</v>
      </c>
    </row>
    <row r="26" ht="15.75" customHeight="1">
      <c r="B26" s="16"/>
      <c r="C26" s="16"/>
      <c r="D26" s="23"/>
      <c r="E26" s="24"/>
      <c r="F26" s="25"/>
      <c r="G26" s="16"/>
    </row>
    <row r="27" ht="15.75" customHeight="1">
      <c r="B27" s="16"/>
      <c r="C27" s="16"/>
      <c r="D27" s="23"/>
      <c r="E27" s="24"/>
      <c r="F27" s="25"/>
      <c r="G27" s="16"/>
    </row>
    <row r="28" ht="15.75" customHeight="1">
      <c r="B28" s="16"/>
      <c r="C28" s="16"/>
      <c r="D28" s="23"/>
      <c r="E28" s="24"/>
      <c r="F28" s="25"/>
      <c r="G28" s="16"/>
    </row>
    <row r="29" ht="15.75" customHeight="1">
      <c r="B29" s="17"/>
      <c r="C29" s="17"/>
      <c r="D29" s="23"/>
      <c r="E29" s="24"/>
      <c r="F29" s="25"/>
      <c r="G29" s="17"/>
    </row>
    <row r="30" ht="15.75" customHeight="1">
      <c r="B30" s="21">
        <v>17.0</v>
      </c>
      <c r="C30" s="11" t="s">
        <v>55</v>
      </c>
      <c r="D30" s="12" t="s">
        <v>39</v>
      </c>
      <c r="E30" s="13" t="s">
        <v>56</v>
      </c>
      <c r="F30" s="14">
        <v>27000.0</v>
      </c>
      <c r="G30" s="15">
        <f>SUM(F30:F34)</f>
        <v>27000</v>
      </c>
    </row>
    <row r="31" ht="15.75" customHeight="1">
      <c r="B31" s="16"/>
      <c r="C31" s="16"/>
      <c r="D31" s="18"/>
      <c r="E31" s="19"/>
      <c r="F31" s="20"/>
      <c r="G31" s="16"/>
    </row>
    <row r="32" ht="15.75" customHeight="1">
      <c r="B32" s="16"/>
      <c r="C32" s="16"/>
      <c r="D32" s="18"/>
      <c r="E32" s="19"/>
      <c r="F32" s="20"/>
      <c r="G32" s="16"/>
    </row>
    <row r="33" ht="15.75" customHeight="1">
      <c r="B33" s="16"/>
      <c r="C33" s="16"/>
      <c r="D33" s="18"/>
      <c r="E33" s="19"/>
      <c r="F33" s="20"/>
      <c r="G33" s="16"/>
    </row>
    <row r="34" ht="15.75" customHeight="1">
      <c r="B34" s="17"/>
      <c r="C34" s="17"/>
      <c r="D34" s="18"/>
      <c r="E34" s="19"/>
      <c r="F34" s="20"/>
      <c r="G34" s="17"/>
    </row>
    <row r="35" ht="15.75" customHeight="1">
      <c r="B35" s="21">
        <v>18.0</v>
      </c>
      <c r="C35" s="11" t="s">
        <v>57</v>
      </c>
      <c r="D35" s="12" t="s">
        <v>39</v>
      </c>
      <c r="E35" s="13" t="s">
        <v>58</v>
      </c>
      <c r="F35" s="14">
        <v>12000.0</v>
      </c>
      <c r="G35" s="15">
        <f>SUM(F35:F39)</f>
        <v>12000</v>
      </c>
    </row>
    <row r="36" ht="15.75" customHeight="1">
      <c r="B36" s="16"/>
      <c r="C36" s="16"/>
      <c r="D36" s="18"/>
      <c r="E36" s="19"/>
      <c r="F36" s="20"/>
      <c r="G36" s="16"/>
    </row>
    <row r="37" ht="15.75" customHeight="1">
      <c r="B37" s="16"/>
      <c r="C37" s="16"/>
      <c r="D37" s="18"/>
      <c r="E37" s="19"/>
      <c r="F37" s="20"/>
      <c r="G37" s="16"/>
    </row>
    <row r="38" ht="15.75" customHeight="1">
      <c r="B38" s="16"/>
      <c r="C38" s="16"/>
      <c r="D38" s="18"/>
      <c r="E38" s="19"/>
      <c r="F38" s="20"/>
      <c r="G38" s="16"/>
    </row>
    <row r="39" ht="15.75" customHeight="1">
      <c r="B39" s="17"/>
      <c r="C39" s="17"/>
      <c r="D39" s="18"/>
      <c r="E39" s="19"/>
      <c r="F39" s="20"/>
      <c r="G39" s="17"/>
    </row>
    <row r="40" ht="15.75" customHeight="1">
      <c r="B40" s="21">
        <v>19.0</v>
      </c>
      <c r="C40" s="11" t="s">
        <v>36</v>
      </c>
      <c r="D40" s="12" t="s">
        <v>42</v>
      </c>
      <c r="E40" s="13" t="s">
        <v>49</v>
      </c>
      <c r="F40" s="14">
        <v>20000.0</v>
      </c>
      <c r="G40" s="15">
        <f>SUM(F40:F44)</f>
        <v>114500</v>
      </c>
    </row>
    <row r="41" ht="15.75" customHeight="1">
      <c r="B41" s="16"/>
      <c r="C41" s="16"/>
      <c r="D41" s="12" t="s">
        <v>59</v>
      </c>
      <c r="E41" s="13" t="s">
        <v>60</v>
      </c>
      <c r="F41" s="14">
        <v>32500.0</v>
      </c>
      <c r="G41" s="16"/>
    </row>
    <row r="42" ht="15.75" customHeight="1">
      <c r="B42" s="16"/>
      <c r="C42" s="16"/>
      <c r="D42" s="12" t="s">
        <v>59</v>
      </c>
      <c r="E42" s="13" t="s">
        <v>61</v>
      </c>
      <c r="F42" s="14">
        <v>6000.0</v>
      </c>
      <c r="G42" s="16"/>
    </row>
    <row r="43" ht="15.75" customHeight="1">
      <c r="B43" s="16"/>
      <c r="C43" s="16"/>
      <c r="D43" s="12" t="s">
        <v>39</v>
      </c>
      <c r="E43" s="13" t="s">
        <v>62</v>
      </c>
      <c r="F43" s="14">
        <v>50000.0</v>
      </c>
      <c r="G43" s="16"/>
    </row>
    <row r="44" ht="15.75" customHeight="1">
      <c r="B44" s="17"/>
      <c r="C44" s="17"/>
      <c r="D44" s="12" t="s">
        <v>37</v>
      </c>
      <c r="E44" s="13" t="s">
        <v>63</v>
      </c>
      <c r="F44" s="14">
        <v>6000.0</v>
      </c>
      <c r="G44" s="17"/>
    </row>
    <row r="45" ht="15.75" customHeight="1">
      <c r="B45" s="21">
        <v>20.0</v>
      </c>
      <c r="C45" s="11" t="s">
        <v>44</v>
      </c>
      <c r="D45" s="12" t="s">
        <v>39</v>
      </c>
      <c r="E45" s="13" t="s">
        <v>40</v>
      </c>
      <c r="F45" s="14">
        <v>15000.0</v>
      </c>
      <c r="G45" s="15">
        <f>SUM(F45:F49)</f>
        <v>68000</v>
      </c>
    </row>
    <row r="46" ht="15.75" customHeight="1">
      <c r="B46" s="16"/>
      <c r="C46" s="16"/>
      <c r="D46" s="12" t="s">
        <v>42</v>
      </c>
      <c r="E46" s="13" t="s">
        <v>49</v>
      </c>
      <c r="F46" s="14">
        <v>20000.0</v>
      </c>
      <c r="G46" s="16"/>
    </row>
    <row r="47" ht="15.75" customHeight="1">
      <c r="B47" s="16"/>
      <c r="C47" s="16"/>
      <c r="D47" s="12" t="s">
        <v>37</v>
      </c>
      <c r="E47" s="13" t="s">
        <v>64</v>
      </c>
      <c r="F47" s="14">
        <v>4000.0</v>
      </c>
      <c r="G47" s="16"/>
    </row>
    <row r="48" ht="15.75" customHeight="1">
      <c r="B48" s="16"/>
      <c r="C48" s="16"/>
      <c r="D48" s="12" t="s">
        <v>39</v>
      </c>
      <c r="E48" s="13" t="s">
        <v>65</v>
      </c>
      <c r="F48" s="14">
        <v>20000.0</v>
      </c>
      <c r="G48" s="16"/>
    </row>
    <row r="49" ht="15.75" customHeight="1">
      <c r="B49" s="17"/>
      <c r="C49" s="17"/>
      <c r="D49" s="12" t="s">
        <v>66</v>
      </c>
      <c r="E49" s="13" t="s">
        <v>67</v>
      </c>
      <c r="F49" s="14">
        <v>9000.0</v>
      </c>
      <c r="G49" s="17"/>
    </row>
    <row r="50" ht="15.75" customHeight="1">
      <c r="B50" s="21">
        <v>21.0</v>
      </c>
      <c r="C50" s="11" t="s">
        <v>50</v>
      </c>
      <c r="D50" s="12"/>
      <c r="E50" s="13"/>
      <c r="F50" s="14"/>
      <c r="G50" s="15">
        <f>SUM(F50:F54)</f>
        <v>0</v>
      </c>
    </row>
    <row r="51" ht="15.75" customHeight="1">
      <c r="B51" s="16"/>
      <c r="C51" s="16"/>
      <c r="D51" s="12"/>
      <c r="E51" s="13"/>
      <c r="F51" s="14"/>
      <c r="G51" s="16"/>
    </row>
    <row r="52" ht="15.75" customHeight="1">
      <c r="B52" s="16"/>
      <c r="C52" s="16"/>
      <c r="D52" s="18"/>
      <c r="E52" s="19"/>
      <c r="F52" s="20"/>
      <c r="G52" s="16"/>
    </row>
    <row r="53" ht="15.75" customHeight="1">
      <c r="B53" s="16"/>
      <c r="C53" s="16"/>
      <c r="D53" s="18"/>
      <c r="E53" s="19"/>
      <c r="F53" s="20"/>
      <c r="G53" s="16"/>
    </row>
    <row r="54" ht="15.75" customHeight="1">
      <c r="B54" s="17"/>
      <c r="C54" s="17"/>
      <c r="D54" s="18"/>
      <c r="E54" s="19"/>
      <c r="F54" s="20"/>
      <c r="G54" s="17"/>
    </row>
    <row r="55" ht="15.75" customHeight="1">
      <c r="B55" s="21">
        <v>22.0</v>
      </c>
      <c r="C55" s="11" t="s">
        <v>53</v>
      </c>
      <c r="D55" s="12" t="s">
        <v>42</v>
      </c>
      <c r="E55" s="13" t="s">
        <v>68</v>
      </c>
      <c r="F55" s="14">
        <v>10000.0</v>
      </c>
      <c r="G55" s="15">
        <f>SUM(F55:F59)</f>
        <v>27000</v>
      </c>
    </row>
    <row r="56" ht="15.75" customHeight="1">
      <c r="B56" s="16"/>
      <c r="C56" s="16"/>
      <c r="D56" s="12" t="s">
        <v>39</v>
      </c>
      <c r="E56" s="13" t="s">
        <v>40</v>
      </c>
      <c r="F56" s="14">
        <v>15000.0</v>
      </c>
      <c r="G56" s="16"/>
    </row>
    <row r="57" ht="15.75" customHeight="1">
      <c r="B57" s="16"/>
      <c r="C57" s="16"/>
      <c r="D57" s="12" t="s">
        <v>37</v>
      </c>
      <c r="E57" s="13" t="s">
        <v>63</v>
      </c>
      <c r="F57" s="14">
        <v>2000.0</v>
      </c>
      <c r="G57" s="16"/>
    </row>
    <row r="58" ht="15.75" customHeight="1">
      <c r="B58" s="16"/>
      <c r="C58" s="16"/>
      <c r="D58" s="18"/>
      <c r="E58" s="19"/>
      <c r="F58" s="20"/>
      <c r="G58" s="16"/>
    </row>
    <row r="59" ht="15.75" customHeight="1">
      <c r="B59" s="17"/>
      <c r="C59" s="17"/>
      <c r="D59" s="18"/>
      <c r="E59" s="19"/>
      <c r="F59" s="20"/>
      <c r="G59" s="17"/>
    </row>
    <row r="60" ht="15.75" customHeight="1">
      <c r="B60" s="21">
        <v>23.0</v>
      </c>
      <c r="C60" s="11" t="s">
        <v>54</v>
      </c>
      <c r="D60" s="12" t="s">
        <v>39</v>
      </c>
      <c r="E60" s="13" t="s">
        <v>69</v>
      </c>
      <c r="F60" s="14">
        <v>4000.0</v>
      </c>
      <c r="G60" s="15">
        <f>SUM(F60:F64)</f>
        <v>4000</v>
      </c>
    </row>
    <row r="61" ht="15.75" customHeight="1">
      <c r="B61" s="16"/>
      <c r="C61" s="16"/>
      <c r="D61" s="18"/>
      <c r="E61" s="19"/>
      <c r="F61" s="20"/>
      <c r="G61" s="16"/>
    </row>
    <row r="62" ht="15.75" customHeight="1">
      <c r="B62" s="16"/>
      <c r="C62" s="16"/>
      <c r="D62" s="18"/>
      <c r="E62" s="19"/>
      <c r="F62" s="20"/>
      <c r="G62" s="16"/>
    </row>
    <row r="63" ht="15.75" customHeight="1">
      <c r="B63" s="16"/>
      <c r="C63" s="16"/>
      <c r="D63" s="18"/>
      <c r="E63" s="19"/>
      <c r="F63" s="20"/>
      <c r="G63" s="16"/>
    </row>
    <row r="64" ht="15.75" customHeight="1">
      <c r="B64" s="17"/>
      <c r="C64" s="17"/>
      <c r="D64" s="18"/>
      <c r="E64" s="19"/>
      <c r="F64" s="20"/>
      <c r="G64" s="17"/>
    </row>
    <row r="65" ht="15.75" customHeight="1">
      <c r="B65" s="21">
        <v>24.0</v>
      </c>
      <c r="C65" s="11" t="s">
        <v>55</v>
      </c>
      <c r="D65" s="12" t="s">
        <v>42</v>
      </c>
      <c r="E65" s="13" t="s">
        <v>49</v>
      </c>
      <c r="F65" s="14">
        <v>20000.0</v>
      </c>
      <c r="G65" s="15">
        <f>SUM(F65:F69)</f>
        <v>71000</v>
      </c>
    </row>
    <row r="66" ht="15.75" customHeight="1">
      <c r="B66" s="16"/>
      <c r="C66" s="16"/>
      <c r="D66" s="12" t="s">
        <v>39</v>
      </c>
      <c r="E66" s="13" t="s">
        <v>70</v>
      </c>
      <c r="F66" s="14">
        <v>27000.0</v>
      </c>
      <c r="G66" s="16"/>
    </row>
    <row r="67" ht="15.75" customHeight="1">
      <c r="B67" s="16"/>
      <c r="C67" s="16"/>
      <c r="D67" s="12" t="s">
        <v>37</v>
      </c>
      <c r="E67" s="13" t="s">
        <v>71</v>
      </c>
      <c r="F67" s="14">
        <v>4000.0</v>
      </c>
      <c r="G67" s="16"/>
    </row>
    <row r="68" ht="15.75" customHeight="1">
      <c r="B68" s="16"/>
      <c r="C68" s="16"/>
      <c r="D68" s="12" t="s">
        <v>39</v>
      </c>
      <c r="E68" s="13" t="s">
        <v>72</v>
      </c>
      <c r="F68" s="14">
        <v>20000.0</v>
      </c>
      <c r="G68" s="16"/>
    </row>
    <row r="69" ht="15.75" customHeight="1">
      <c r="B69" s="17"/>
      <c r="C69" s="17"/>
      <c r="D69" s="18"/>
      <c r="E69" s="19"/>
      <c r="F69" s="20"/>
      <c r="G69" s="17"/>
    </row>
    <row r="70" ht="15.75" customHeight="1">
      <c r="B70" s="21">
        <v>25.0</v>
      </c>
      <c r="C70" s="11" t="s">
        <v>57</v>
      </c>
      <c r="D70" s="12" t="s">
        <v>39</v>
      </c>
      <c r="E70" s="13" t="s">
        <v>40</v>
      </c>
      <c r="F70" s="14">
        <v>35000.0</v>
      </c>
      <c r="G70" s="15">
        <f>SUM(F70:F74)</f>
        <v>49000</v>
      </c>
    </row>
    <row r="71" ht="15.75" customHeight="1">
      <c r="B71" s="16"/>
      <c r="C71" s="16"/>
      <c r="D71" s="12" t="s">
        <v>42</v>
      </c>
      <c r="E71" s="13" t="s">
        <v>49</v>
      </c>
      <c r="F71" s="14">
        <v>10000.0</v>
      </c>
      <c r="G71" s="16"/>
    </row>
    <row r="72" ht="15.75" customHeight="1">
      <c r="B72" s="16"/>
      <c r="C72" s="16"/>
      <c r="D72" s="12" t="s">
        <v>37</v>
      </c>
      <c r="E72" s="13" t="s">
        <v>71</v>
      </c>
      <c r="F72" s="14">
        <v>4000.0</v>
      </c>
      <c r="G72" s="16"/>
    </row>
    <row r="73" ht="15.75" customHeight="1">
      <c r="B73" s="16"/>
      <c r="C73" s="16"/>
      <c r="D73" s="18"/>
      <c r="E73" s="19"/>
      <c r="F73" s="20"/>
      <c r="G73" s="16"/>
    </row>
    <row r="74" ht="15.75" customHeight="1">
      <c r="B74" s="17"/>
      <c r="C74" s="17"/>
      <c r="D74" s="18"/>
      <c r="E74" s="19"/>
      <c r="F74" s="20"/>
      <c r="G74" s="17"/>
    </row>
    <row r="75" ht="15.75" customHeight="1">
      <c r="B75" s="21">
        <v>26.0</v>
      </c>
      <c r="C75" s="11" t="s">
        <v>36</v>
      </c>
      <c r="D75" s="12" t="s">
        <v>39</v>
      </c>
      <c r="E75" s="13" t="s">
        <v>40</v>
      </c>
      <c r="F75" s="14">
        <v>15000.0</v>
      </c>
      <c r="G75" s="15">
        <f>SUM(F75:F79)</f>
        <v>85000</v>
      </c>
    </row>
    <row r="76" ht="15.75" customHeight="1">
      <c r="B76" s="16"/>
      <c r="C76" s="16"/>
      <c r="D76" s="12" t="s">
        <v>42</v>
      </c>
      <c r="E76" s="13" t="s">
        <v>49</v>
      </c>
      <c r="F76" s="14">
        <v>10000.0</v>
      </c>
      <c r="G76" s="16"/>
    </row>
    <row r="77" ht="15.75" customHeight="1">
      <c r="B77" s="16"/>
      <c r="C77" s="16"/>
      <c r="D77" s="12" t="s">
        <v>37</v>
      </c>
      <c r="E77" s="13" t="s">
        <v>73</v>
      </c>
      <c r="F77" s="14">
        <v>50000.0</v>
      </c>
      <c r="G77" s="16"/>
    </row>
    <row r="78" ht="15.75" customHeight="1">
      <c r="B78" s="16"/>
      <c r="C78" s="16"/>
      <c r="D78" s="12" t="s">
        <v>39</v>
      </c>
      <c r="E78" s="13" t="s">
        <v>74</v>
      </c>
      <c r="F78" s="14">
        <v>10000.0</v>
      </c>
      <c r="G78" s="16"/>
    </row>
    <row r="79" ht="15.75" customHeight="1">
      <c r="B79" s="17"/>
      <c r="C79" s="17"/>
      <c r="D79" s="18"/>
      <c r="E79" s="19"/>
      <c r="F79" s="20"/>
      <c r="G79" s="17"/>
    </row>
    <row r="80" ht="15.75" customHeight="1">
      <c r="B80" s="26">
        <v>27.0</v>
      </c>
      <c r="C80" s="27" t="s">
        <v>44</v>
      </c>
      <c r="D80" s="28"/>
      <c r="E80" s="29"/>
      <c r="F80" s="30"/>
      <c r="G80" s="15">
        <f>SUM(F80:F84)</f>
        <v>0</v>
      </c>
    </row>
    <row r="81" ht="15.75" customHeight="1">
      <c r="B81" s="16"/>
      <c r="C81" s="16"/>
      <c r="D81" s="28"/>
      <c r="E81" s="29"/>
      <c r="F81" s="30"/>
      <c r="G81" s="16"/>
    </row>
    <row r="82" ht="15.75" customHeight="1">
      <c r="B82" s="16"/>
      <c r="C82" s="16"/>
      <c r="D82" s="23"/>
      <c r="E82" s="24"/>
      <c r="F82" s="25"/>
      <c r="G82" s="16"/>
    </row>
    <row r="83" ht="15.75" customHeight="1">
      <c r="B83" s="16"/>
      <c r="C83" s="16"/>
      <c r="D83" s="23"/>
      <c r="E83" s="24"/>
      <c r="F83" s="25"/>
      <c r="G83" s="16"/>
    </row>
    <row r="84" ht="15.75" customHeight="1">
      <c r="B84" s="17"/>
      <c r="C84" s="17"/>
      <c r="D84" s="23"/>
      <c r="E84" s="24"/>
      <c r="F84" s="25"/>
      <c r="G84" s="17"/>
    </row>
    <row r="85" ht="15.75" customHeight="1">
      <c r="B85" s="26">
        <v>28.0</v>
      </c>
      <c r="C85" s="27" t="s">
        <v>50</v>
      </c>
      <c r="D85" s="28"/>
      <c r="E85" s="29"/>
      <c r="F85" s="30"/>
      <c r="G85" s="15">
        <f>SUM(F85:F89)</f>
        <v>0</v>
      </c>
    </row>
    <row r="86" ht="15.75" customHeight="1">
      <c r="B86" s="16"/>
      <c r="C86" s="16"/>
      <c r="D86" s="28"/>
      <c r="E86" s="29"/>
      <c r="F86" s="30"/>
      <c r="G86" s="16"/>
    </row>
    <row r="87" ht="15.75" customHeight="1">
      <c r="B87" s="16"/>
      <c r="C87" s="16"/>
      <c r="D87" s="23"/>
      <c r="E87" s="24"/>
      <c r="F87" s="25"/>
      <c r="G87" s="16"/>
    </row>
    <row r="88" ht="15.75" customHeight="1">
      <c r="B88" s="16"/>
      <c r="C88" s="16"/>
      <c r="D88" s="23"/>
      <c r="E88" s="24"/>
      <c r="F88" s="25"/>
      <c r="G88" s="16"/>
    </row>
    <row r="89" ht="15.75" customHeight="1">
      <c r="B89" s="17"/>
      <c r="C89" s="17"/>
      <c r="D89" s="23"/>
      <c r="E89" s="24"/>
      <c r="F89" s="25"/>
      <c r="G89" s="17"/>
    </row>
    <row r="90" ht="15.75" customHeight="1">
      <c r="B90" s="31">
        <v>29.0</v>
      </c>
      <c r="C90" s="32" t="s">
        <v>53</v>
      </c>
      <c r="D90" s="12"/>
      <c r="E90" s="13"/>
      <c r="F90" s="14"/>
      <c r="G90" s="15">
        <f>SUM(F90:F94)</f>
        <v>0</v>
      </c>
    </row>
    <row r="91" ht="15.75" customHeight="1">
      <c r="B91" s="16"/>
      <c r="C91" s="16"/>
      <c r="D91" s="12"/>
      <c r="E91" s="13"/>
      <c r="F91" s="14"/>
      <c r="G91" s="16"/>
    </row>
    <row r="92" ht="15.75" customHeight="1">
      <c r="B92" s="16"/>
      <c r="C92" s="16"/>
      <c r="D92" s="18"/>
      <c r="E92" s="19"/>
      <c r="F92" s="20"/>
      <c r="G92" s="16"/>
    </row>
    <row r="93" ht="15.75" customHeight="1">
      <c r="B93" s="16"/>
      <c r="C93" s="16"/>
      <c r="D93" s="18"/>
      <c r="E93" s="19"/>
      <c r="F93" s="20"/>
      <c r="G93" s="16"/>
    </row>
    <row r="94" ht="15.75" customHeight="1">
      <c r="B94" s="17"/>
      <c r="C94" s="17"/>
      <c r="D94" s="18"/>
      <c r="E94" s="19"/>
      <c r="F94" s="20"/>
      <c r="G94" s="17"/>
    </row>
    <row r="95" ht="15.75" customHeight="1">
      <c r="B95" s="31">
        <v>30.0</v>
      </c>
      <c r="C95" s="32" t="s">
        <v>54</v>
      </c>
      <c r="D95" s="12"/>
      <c r="E95" s="19"/>
      <c r="F95" s="14"/>
      <c r="G95" s="15">
        <f>SUM(F95:F99)</f>
        <v>0</v>
      </c>
    </row>
    <row r="96" ht="15.75" customHeight="1">
      <c r="B96" s="16"/>
      <c r="C96" s="16"/>
      <c r="D96" s="18"/>
      <c r="E96" s="19"/>
      <c r="F96" s="20"/>
      <c r="G96" s="16"/>
    </row>
    <row r="97" ht="15.75" customHeight="1">
      <c r="B97" s="16"/>
      <c r="C97" s="16"/>
      <c r="D97" s="18"/>
      <c r="E97" s="19"/>
      <c r="F97" s="20"/>
      <c r="G97" s="16"/>
    </row>
    <row r="98" ht="15.75" customHeight="1">
      <c r="B98" s="16"/>
      <c r="C98" s="16"/>
      <c r="D98" s="18"/>
      <c r="E98" s="19"/>
      <c r="F98" s="20"/>
      <c r="G98" s="16"/>
    </row>
    <row r="99" ht="15.75" customHeight="1">
      <c r="B99" s="17"/>
      <c r="C99" s="17"/>
      <c r="D99" s="18"/>
      <c r="E99" s="19"/>
      <c r="F99" s="20"/>
      <c r="G99" s="17"/>
    </row>
    <row r="100" ht="15.75" customHeight="1">
      <c r="B100" s="31">
        <v>31.0</v>
      </c>
      <c r="C100" s="32" t="s">
        <v>55</v>
      </c>
      <c r="D100" s="12" t="s">
        <v>42</v>
      </c>
      <c r="E100" s="13" t="s">
        <v>49</v>
      </c>
      <c r="F100" s="14">
        <v>20000.0</v>
      </c>
      <c r="G100" s="15">
        <f>SUM(F100:F104)</f>
        <v>20000</v>
      </c>
    </row>
    <row r="101" ht="15.75" customHeight="1">
      <c r="B101" s="16"/>
      <c r="C101" s="16"/>
      <c r="D101" s="18"/>
      <c r="E101" s="19"/>
      <c r="F101" s="20"/>
      <c r="G101" s="16"/>
    </row>
    <row r="102" ht="15.75" customHeight="1">
      <c r="B102" s="16"/>
      <c r="C102" s="16"/>
      <c r="D102" s="18"/>
      <c r="E102" s="19"/>
      <c r="F102" s="20"/>
      <c r="G102" s="16"/>
    </row>
    <row r="103" ht="15.75" customHeight="1">
      <c r="B103" s="16"/>
      <c r="C103" s="16"/>
      <c r="D103" s="18"/>
      <c r="E103" s="19"/>
      <c r="F103" s="20"/>
      <c r="G103" s="16"/>
    </row>
    <row r="104" ht="15.75" customHeight="1">
      <c r="B104" s="17"/>
      <c r="C104" s="17"/>
      <c r="D104" s="18"/>
      <c r="E104" s="19"/>
      <c r="F104" s="20"/>
      <c r="G104" s="17"/>
    </row>
    <row r="105" ht="15.75" customHeight="1"/>
    <row r="106" ht="15.75" customHeight="1">
      <c r="B106" s="33" t="s">
        <v>75</v>
      </c>
      <c r="C106" s="34"/>
      <c r="D106" s="34"/>
      <c r="E106" s="34"/>
      <c r="F106" s="35">
        <f>SUM(F5:F104)</f>
        <v>647500</v>
      </c>
    </row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</sheetData>
  <mergeCells count="62">
    <mergeCell ref="C85:C89"/>
    <mergeCell ref="C90:C94"/>
    <mergeCell ref="C50:C54"/>
    <mergeCell ref="C55:C59"/>
    <mergeCell ref="C60:C64"/>
    <mergeCell ref="C65:C69"/>
    <mergeCell ref="C70:C74"/>
    <mergeCell ref="C75:C79"/>
    <mergeCell ref="C80:C84"/>
    <mergeCell ref="B2:G2"/>
    <mergeCell ref="B5:B9"/>
    <mergeCell ref="C5:C9"/>
    <mergeCell ref="G5:G9"/>
    <mergeCell ref="B10:B14"/>
    <mergeCell ref="C10:C14"/>
    <mergeCell ref="G10:G14"/>
    <mergeCell ref="B15:B19"/>
    <mergeCell ref="C15:C19"/>
    <mergeCell ref="G15:G19"/>
    <mergeCell ref="B20:B24"/>
    <mergeCell ref="C20:C24"/>
    <mergeCell ref="B25:B29"/>
    <mergeCell ref="C25:C29"/>
    <mergeCell ref="B30:B34"/>
    <mergeCell ref="C30:C34"/>
    <mergeCell ref="B35:B39"/>
    <mergeCell ref="C35:C39"/>
    <mergeCell ref="B40:B44"/>
    <mergeCell ref="C40:C44"/>
    <mergeCell ref="C45:C49"/>
    <mergeCell ref="G20:G24"/>
    <mergeCell ref="G25:G29"/>
    <mergeCell ref="G30:G34"/>
    <mergeCell ref="G35:G39"/>
    <mergeCell ref="G40:G44"/>
    <mergeCell ref="G45:G49"/>
    <mergeCell ref="G50:G54"/>
    <mergeCell ref="B80:B84"/>
    <mergeCell ref="B85:B89"/>
    <mergeCell ref="B90:B94"/>
    <mergeCell ref="B95:B99"/>
    <mergeCell ref="C95:C99"/>
    <mergeCell ref="B100:B104"/>
    <mergeCell ref="C100:C104"/>
    <mergeCell ref="B106:E106"/>
    <mergeCell ref="B45:B49"/>
    <mergeCell ref="B50:B54"/>
    <mergeCell ref="B55:B59"/>
    <mergeCell ref="B60:B64"/>
    <mergeCell ref="B65:B69"/>
    <mergeCell ref="B70:B74"/>
    <mergeCell ref="B75:B79"/>
    <mergeCell ref="G90:G94"/>
    <mergeCell ref="G95:G99"/>
    <mergeCell ref="G100:G104"/>
    <mergeCell ref="G55:G59"/>
    <mergeCell ref="G60:G64"/>
    <mergeCell ref="G65:G69"/>
    <mergeCell ref="G70:G74"/>
    <mergeCell ref="G75:G79"/>
    <mergeCell ref="G80:G84"/>
    <mergeCell ref="G85:G89"/>
  </mergeCells>
  <dataValidations>
    <dataValidation type="list" allowBlank="1" sqref="D5:D104">
      <formula1>"Makanan,Transportasi,Belanja,Hiburan,Kesehatan,Pendidikan,Tagihan (Listrik/Air/Internet),Lainnya"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8.0"/>
    <col customWidth="1" min="3" max="3" width="10.0"/>
    <col customWidth="1" min="4" max="10" width="13.0"/>
    <col customWidth="1" min="11" max="24" width="8.71"/>
  </cols>
  <sheetData>
    <row r="2" ht="30.0" customHeight="1">
      <c r="B2" s="36" t="s">
        <v>76</v>
      </c>
    </row>
    <row r="4">
      <c r="B4" s="9" t="s">
        <v>30</v>
      </c>
      <c r="C4" s="9" t="s">
        <v>31</v>
      </c>
      <c r="D4" s="9" t="s">
        <v>39</v>
      </c>
      <c r="E4" s="9" t="s">
        <v>42</v>
      </c>
      <c r="F4" s="9" t="s">
        <v>66</v>
      </c>
      <c r="G4" s="9" t="s">
        <v>59</v>
      </c>
      <c r="H4" s="9" t="s">
        <v>77</v>
      </c>
      <c r="I4" s="9" t="s">
        <v>37</v>
      </c>
      <c r="J4" s="9" t="s">
        <v>35</v>
      </c>
    </row>
    <row r="5">
      <c r="B5" s="37">
        <v>12.0</v>
      </c>
      <c r="C5" s="38" t="s">
        <v>36</v>
      </c>
      <c r="D5" s="39">
        <f t="array" ref="D5">SUMIFS('Input Harian'!$F$5:$F$104,
        IF('Input Harian'!$B$5:$B$104="",
                        LOOKUP(ROW('Input Harian'!$B$5:$B$104),
                               ROW('Input Harian'!$B$5:$B$104)/('Input Harian'!$B$5:$B$104&lt;&gt;""),
                               'Input Harian'!$B$5:$B$104),
                        'Input Harian'!$B$5:$B$104),
        $B5,
        'Input Harian'!$D$5:$D$104,"*"&amp;D$4&amp;"*")</f>
        <v>18000</v>
      </c>
      <c r="E5" s="39">
        <f t="array" ref="E5">SUMIFS('Input Harian'!$F$5:$F$104,
        IF('Input Harian'!$B$5:$B$104="",
                        LOOKUP(ROW('Input Harian'!$B$5:$B$104),
                               ROW('Input Harian'!$B$5:$B$104)/('Input Harian'!$B$5:$B$104&lt;&gt;""),
                               'Input Harian'!$B$5:$B$104),
                        'Input Harian'!$B$5:$B$104),
        $B5,
        'Input Harian'!$D$5:$D$104,"*"&amp;E$4&amp;"*")</f>
        <v>22000</v>
      </c>
      <c r="F5" s="39">
        <f>SUMIFS('Input Harian'!$F$5:$F$104,'Input Harian'!$B$5:$B$104,B5,'Input Harian'!$D$5:$D$104,"Belanja")</f>
        <v>0</v>
      </c>
      <c r="G5" s="39">
        <f>SUMIFS('Input Harian'!$F$5:$F$104,'Input Harian'!$B$5:$B$104,B5,'Input Harian'!$D$5:$D$104,"Hiburan")</f>
        <v>0</v>
      </c>
      <c r="H5" s="39">
        <f>SUMIFS('Input Harian'!$F$5:$F$104,'Input Harian'!$B$5:$B$104,B5,'Input Harian'!$D$5:$D$104,"Tagihan (Listrik/Air/Internet)")</f>
        <v>0</v>
      </c>
      <c r="I5" s="39">
        <f>SUMIFS('Input Harian'!$F$5:$F$104,'Input Harian'!$B$5:$B$104,B5,'Input Harian'!$D$5:$D$104,"Lainnya")</f>
        <v>1000</v>
      </c>
      <c r="J5" s="40">
        <f t="shared" ref="J5:J24" si="1">SUM(D5:I5)</f>
        <v>41000</v>
      </c>
    </row>
    <row r="6">
      <c r="B6" s="37">
        <v>13.0</v>
      </c>
      <c r="C6" s="38" t="s">
        <v>44</v>
      </c>
      <c r="D6" s="39">
        <f t="array" ref="D6">SUMIFS('Input Harian'!$F$5:$F$104,
        IF('Input Harian'!$B$5:$B$104="",
                        LOOKUP(ROW('Input Harian'!$B$5:$B$104),
                               ROW('Input Harian'!$B$5:$B$104)/('Input Harian'!$B$5:$B$104&lt;&gt;""),
                               'Input Harian'!$B$5:$B$104),
                        'Input Harian'!$B$5:$B$104),
        $B6,
        'Input Harian'!$D$5:$D$104,"*"&amp;D$4&amp;"*")</f>
        <v>67000</v>
      </c>
      <c r="E6" s="39">
        <f t="array" ref="E6">SUMIFS('Input Harian'!$F$5:$F$104,
        IF('Input Harian'!$B$5:$B$104="",
                        LOOKUP(ROW('Input Harian'!$B$5:$B$104),
                               ROW('Input Harian'!$B$5:$B$104)/('Input Harian'!$B$5:$B$104&lt;&gt;""),
                               'Input Harian'!$B$5:$B$104),
                        'Input Harian'!$B$5:$B$104),
        $B6,
        'Input Harian'!$D$5:$D$104,"*"&amp;E$4&amp;"*")</f>
        <v>22000</v>
      </c>
      <c r="F6" s="39">
        <f>SUMIFS('Input Harian'!$F$5:$F$104,'Input Harian'!$B$5:$B$104,B6,'Input Harian'!$D$5:$D$104,"Belanja")</f>
        <v>0</v>
      </c>
      <c r="G6" s="39">
        <f>SUMIFS('Input Harian'!$F$5:$F$104,'Input Harian'!$B$5:$B$104,B6,'Input Harian'!$D$5:$D$104,"Hiburan")</f>
        <v>0</v>
      </c>
      <c r="H6" s="39">
        <f>SUMIFS('Input Harian'!$F$5:$F$104,'Input Harian'!$B$5:$B$104,B6,'Input Harian'!$D$5:$D$104,"Tagihan (Listrik/Air/Internet)")</f>
        <v>0</v>
      </c>
      <c r="I6" s="39">
        <f>SUMIFS('Input Harian'!$F$5:$F$104,'Input Harian'!$B$5:$B$104,B6,'Input Harian'!$D$5:$D$104,"Lainnya")</f>
        <v>0</v>
      </c>
      <c r="J6" s="40">
        <f t="shared" si="1"/>
        <v>89000</v>
      </c>
    </row>
    <row r="7">
      <c r="B7" s="38">
        <v>14.0</v>
      </c>
      <c r="C7" s="38" t="s">
        <v>50</v>
      </c>
      <c r="D7" s="39">
        <f t="array" ref="D7">SUMIFS('Input Harian'!$F$5:$F$104,
        IF('Input Harian'!$B$5:$B$104="",
                        LOOKUP(ROW('Input Harian'!$B$5:$B$104),
                               ROW('Input Harian'!$B$5:$B$104)/('Input Harian'!$B$5:$B$104&lt;&gt;""),
                               'Input Harian'!$B$5:$B$104),
                        'Input Harian'!$B$5:$B$104),
        $B7,
        'Input Harian'!$D$5:$D$104,"*"&amp;D$4&amp;"*")</f>
        <v>12000</v>
      </c>
      <c r="E7" s="39">
        <f t="array" ref="E7">SUMIFS('Input Harian'!$F$5:$F$104,
        IF('Input Harian'!$B$5:$B$104="",
                        LOOKUP(ROW('Input Harian'!$B$5:$B$104),
                               ROW('Input Harian'!$B$5:$B$104)/('Input Harian'!$B$5:$B$104&lt;&gt;""),
                               'Input Harian'!$B$5:$B$104),
                        'Input Harian'!$B$5:$B$104),
        $B7,
        'Input Harian'!$D$5:$D$104,"*"&amp;E$4&amp;"*")</f>
        <v>15000</v>
      </c>
      <c r="F7" s="39">
        <f>SUMIFS('Input Harian'!$F$5:$F$104,'Input Harian'!$B$5:$B$104,B7,'Input Harian'!$D$5:$D$104,"Belanja")</f>
        <v>0</v>
      </c>
      <c r="G7" s="39">
        <f>SUMIFS('Input Harian'!$F$5:$F$104,'Input Harian'!$B$5:$B$104,B7,'Input Harian'!$D$5:$D$104,"Hiburan")</f>
        <v>0</v>
      </c>
      <c r="H7" s="39">
        <f>SUMIFS('Input Harian'!$F$5:$F$104,'Input Harian'!$B$5:$B$104,B7,'Input Harian'!$D$5:$D$104,"Tagihan (Listrik/Air/Internet)")</f>
        <v>0</v>
      </c>
      <c r="I7" s="39">
        <f>SUMIFS('Input Harian'!$F$5:$F$104,'Input Harian'!$B$5:$B$104,B7,'Input Harian'!$D$5:$D$104,"Lainnya")</f>
        <v>0</v>
      </c>
      <c r="J7" s="40">
        <f t="shared" si="1"/>
        <v>27000</v>
      </c>
    </row>
    <row r="8">
      <c r="B8" s="38">
        <v>15.0</v>
      </c>
      <c r="C8" s="38" t="s">
        <v>53</v>
      </c>
      <c r="D8" s="39">
        <f t="array" ref="D8">SUMIFS('Input Harian'!$F$5:$F$104,
        IF('Input Harian'!$B$5:$B$104="",
                        LOOKUP(ROW('Input Harian'!$B$5:$B$104),
                               ROW('Input Harian'!$B$5:$B$104)/('Input Harian'!$B$5:$B$104&lt;&gt;""),
                               'Input Harian'!$B$5:$B$104),
                        'Input Harian'!$B$5:$B$104),
        $B8,
        'Input Harian'!$D$5:$D$104,"*"&amp;D$4&amp;"*")</f>
        <v>0</v>
      </c>
      <c r="E8" s="39">
        <f t="array" ref="E8">SUMIFS('Input Harian'!$F$5:$F$104,
        IF('Input Harian'!$B$5:$B$104="",
                        LOOKUP(ROW('Input Harian'!$B$5:$B$104),
                               ROW('Input Harian'!$B$5:$B$104)/('Input Harian'!$B$5:$B$104&lt;&gt;""),
                               'Input Harian'!$B$5:$B$104),
                        'Input Harian'!$B$5:$B$104),
        $B8,
        'Input Harian'!$D$5:$D$104,"*"&amp;E$4&amp;"*")</f>
        <v>0</v>
      </c>
      <c r="F8" s="39">
        <f t="array" ref="F8">SUMIFS('Input Harian'!$F$5:$F$104,
        IF('Input Harian'!$B$5:$B$104="",
                        LOOKUP(ROW('Input Harian'!$B$5:$B$104),
                               ROW('Input Harian'!$B$5:$B$104)/('Input Harian'!$B$5:$B$104&lt;&gt;""),
                               'Input Harian'!$B$5:$B$104),
                        'Input Harian'!$B$5:$B$104),
        $B8,
        'Input Harian'!$D$5:$D$104,"*Belanja*")</f>
        <v>0</v>
      </c>
      <c r="G8" s="39">
        <f t="array" ref="G8">SUMIFS('Input Harian'!$F$5:$F$104,
        IF('Input Harian'!$B$5:$B$104="",
                        LOOKUP(ROW('Input Harian'!$B$5:$B$104),
                               ROW('Input Harian'!$B$5:$B$104)/('Input Harian'!$B$5:$B$104&lt;&gt;""),
                               'Input Harian'!$B$5:$B$104),
                        'Input Harian'!$B$5:$B$104),
        $B8,
        'Input Harian'!$D$5:$D$104,"*"&amp;G$4&amp;"*")</f>
        <v>0</v>
      </c>
      <c r="H8" s="39">
        <f t="array" ref="H8">SUMIFS('Input Harian'!$F$5:$F$104,
        IF('Input Harian'!$B$5:$B$104="",
                        LOOKUP(ROW('Input Harian'!$B$5:$B$104),
                               ROW('Input Harian'!$B$5:$B$104)/('Input Harian'!$B$5:$B$104&lt;&gt;""),
                               'Input Harian'!$B$5:$B$104),
                        'Input Harian'!$B$5:$B$104),
        $B8,
        'Input Harian'!$D$5:$D$104,"*"&amp;H$4&amp;"*")</f>
        <v>0</v>
      </c>
      <c r="I8" s="39">
        <f t="array" ref="I8">SUMIFS('Input Harian'!$F$5:$F$104,
        IF('Input Harian'!$B$5:$B$104="",
                        LOOKUP(ROW('Input Harian'!$B$5:$B$104),
                               ROW('Input Harian'!$B$5:$B$104)/('Input Harian'!$B$5:$B$104&lt;&gt;""),
                               'Input Harian'!$B$5:$B$104),
                        'Input Harian'!$B$5:$B$104),
        $B8,
        'Input Harian'!$D$5:$D$104,"*"&amp;I$4&amp;"*")</f>
        <v>0</v>
      </c>
      <c r="J8" s="40">
        <f t="shared" si="1"/>
        <v>0</v>
      </c>
    </row>
    <row r="9">
      <c r="B9" s="38">
        <v>16.0</v>
      </c>
      <c r="C9" s="41" t="s">
        <v>54</v>
      </c>
      <c r="D9" s="39">
        <f t="array" ref="D9">SUMIFS('Input Harian'!$F$5:$F$104,
        IF('Input Harian'!$B$5:$B$104="",
                        LOOKUP(ROW('Input Harian'!$B$5:$B$104),
                               ROW('Input Harian'!$B$5:$B$104)/('Input Harian'!$B$5:$B$104&lt;&gt;""),
                               'Input Harian'!$B$5:$B$104),
                        'Input Harian'!$B$5:$B$104),
        $B9,
        'Input Harian'!$D$5:$D$104,"*"&amp;D$4&amp;"*")</f>
        <v>0</v>
      </c>
      <c r="E9" s="39">
        <f t="array" ref="E9">SUMIFS('Input Harian'!$F$5:$F$104,
        IF('Input Harian'!$B$5:$B$104="",
                        LOOKUP(ROW('Input Harian'!$B$5:$B$104),
                               ROW('Input Harian'!$B$5:$B$104)/('Input Harian'!$B$5:$B$104&lt;&gt;""),
                               'Input Harian'!$B$5:$B$104),
                        'Input Harian'!$B$5:$B$104),
        $B9,
        'Input Harian'!$D$5:$D$104,"*"&amp;E$4&amp;"*")</f>
        <v>0</v>
      </c>
      <c r="F9" s="39">
        <f t="array" ref="F9">SUMIFS('Input Harian'!$F$5:$F$104,
        IF('Input Harian'!$B$5:$B$104="",
                        LOOKUP(ROW('Input Harian'!$B$5:$B$104),
                               ROW('Input Harian'!$B$5:$B$104)/('Input Harian'!$B$5:$B$104&lt;&gt;""),
                               'Input Harian'!$B$5:$B$104),
                        'Input Harian'!$B$5:$B$104),
        $B9,
        'Input Harian'!$D$5:$D$104,"*Belanja*")</f>
        <v>0</v>
      </c>
      <c r="G9" s="39">
        <f t="array" ref="G9">SUMIFS('Input Harian'!$F$5:$F$104,
        IF('Input Harian'!$B$5:$B$104="",
                        LOOKUP(ROW('Input Harian'!$B$5:$B$104),
                               ROW('Input Harian'!$B$5:$B$104)/('Input Harian'!$B$5:$B$104&lt;&gt;""),
                               'Input Harian'!$B$5:$B$104),
                        'Input Harian'!$B$5:$B$104),
        $B9,
        'Input Harian'!$D$5:$D$104,"*"&amp;G$4&amp;"*")</f>
        <v>0</v>
      </c>
      <c r="H9" s="39">
        <f t="array" ref="H9">SUMIFS('Input Harian'!$F$5:$F$104,
        IF('Input Harian'!$B$5:$B$104="",
                        LOOKUP(ROW('Input Harian'!$B$5:$B$104),
                               ROW('Input Harian'!$B$5:$B$104)/('Input Harian'!$B$5:$B$104&lt;&gt;""),
                               'Input Harian'!$B$5:$B$104),
                        'Input Harian'!$B$5:$B$104),
        $B9,
        'Input Harian'!$D$5:$D$104,"*"&amp;H$4&amp;"*")</f>
        <v>0</v>
      </c>
      <c r="I9" s="39">
        <f t="array" ref="I9">SUMIFS('Input Harian'!$F$5:$F$104,
        IF('Input Harian'!$B$5:$B$104="",
                        LOOKUP(ROW('Input Harian'!$B$5:$B$104),
                               ROW('Input Harian'!$B$5:$B$104)/('Input Harian'!$B$5:$B$104&lt;&gt;""),
                               'Input Harian'!$B$5:$B$104),
                        'Input Harian'!$B$5:$B$104),
        $B9,
        'Input Harian'!$D$5:$D$104,"*"&amp;I$4&amp;"*")</f>
        <v>0</v>
      </c>
      <c r="J9" s="40">
        <f t="shared" si="1"/>
        <v>0</v>
      </c>
    </row>
    <row r="10" ht="15.75" customHeight="1">
      <c r="B10" s="38">
        <v>17.0</v>
      </c>
      <c r="C10" s="41" t="s">
        <v>55</v>
      </c>
      <c r="D10" s="39">
        <f t="array" ref="D10">SUMIFS('Input Harian'!$F$5:$F$104,
        IF('Input Harian'!$B$5:$B$104="",
                        LOOKUP(ROW('Input Harian'!$B$5:$B$104),
                               ROW('Input Harian'!$B$5:$B$104)/('Input Harian'!$B$5:$B$104&lt;&gt;""),
                               'Input Harian'!$B$5:$B$104),
                        'Input Harian'!$B$5:$B$104),
        $B10,
        'Input Harian'!$D$5:$D$104,"*"&amp;D$4&amp;"*")</f>
        <v>27000</v>
      </c>
      <c r="E10" s="39">
        <f t="array" ref="E10">SUMIFS('Input Harian'!$F$5:$F$104,
        IF('Input Harian'!$B$5:$B$104="",
                        LOOKUP(ROW('Input Harian'!$B$5:$B$104),
                               ROW('Input Harian'!$B$5:$B$104)/('Input Harian'!$B$5:$B$104&lt;&gt;""),
                               'Input Harian'!$B$5:$B$104),
                        'Input Harian'!$B$5:$B$104),
        $B10,
        'Input Harian'!$D$5:$D$104,"*"&amp;E$4&amp;"*")</f>
        <v>0</v>
      </c>
      <c r="F10" s="39">
        <f t="array" ref="F10">SUMIFS('Input Harian'!$F$5:$F$104,
        IF('Input Harian'!$B$5:$B$104="",
                        LOOKUP(ROW('Input Harian'!$B$5:$B$104),
                               ROW('Input Harian'!$B$5:$B$104)/('Input Harian'!$B$5:$B$104&lt;&gt;""),
                               'Input Harian'!$B$5:$B$104),
                        'Input Harian'!$B$5:$B$104),
        $B10,
        'Input Harian'!$D$5:$D$104,"*Belanja*")</f>
        <v>0</v>
      </c>
      <c r="G10" s="39">
        <f t="array" ref="G10">SUMIFS('Input Harian'!$F$5:$F$104,
        IF('Input Harian'!$B$5:$B$104="",
                        LOOKUP(ROW('Input Harian'!$B$5:$B$104),
                               ROW('Input Harian'!$B$5:$B$104)/('Input Harian'!$B$5:$B$104&lt;&gt;""),
                               'Input Harian'!$B$5:$B$104),
                        'Input Harian'!$B$5:$B$104),
        $B10,
        'Input Harian'!$D$5:$D$104,"*"&amp;G$4&amp;"*")</f>
        <v>0</v>
      </c>
      <c r="H10" s="39">
        <f t="array" ref="H10">SUMIFS('Input Harian'!$F$5:$F$104,
        IF('Input Harian'!$B$5:$B$104="",
                        LOOKUP(ROW('Input Harian'!$B$5:$B$104),
                               ROW('Input Harian'!$B$5:$B$104)/('Input Harian'!$B$5:$B$104&lt;&gt;""),
                               'Input Harian'!$B$5:$B$104),
                        'Input Harian'!$B$5:$B$104),
        $B10,
        'Input Harian'!$D$5:$D$104,"*"&amp;H$4&amp;"*")</f>
        <v>0</v>
      </c>
      <c r="I10" s="39">
        <f t="array" ref="I10">SUMIFS('Input Harian'!$F$5:$F$104,
        IF('Input Harian'!$B$5:$B$104="",
                        LOOKUP(ROW('Input Harian'!$B$5:$B$104),
                               ROW('Input Harian'!$B$5:$B$104)/('Input Harian'!$B$5:$B$104&lt;&gt;""),
                               'Input Harian'!$B$5:$B$104),
                        'Input Harian'!$B$5:$B$104),
        $B10,
        'Input Harian'!$D$5:$D$104,"*"&amp;I$4&amp;"*")</f>
        <v>0</v>
      </c>
      <c r="J10" s="40">
        <f t="shared" si="1"/>
        <v>27000</v>
      </c>
    </row>
    <row r="11" ht="15.75" customHeight="1">
      <c r="B11" s="38">
        <v>18.0</v>
      </c>
      <c r="C11" s="38" t="s">
        <v>57</v>
      </c>
      <c r="D11" s="39">
        <f t="array" ref="D11">SUMIFS('Input Harian'!$F$5:$F$104,
        IF('Input Harian'!$B$5:$B$104="",
                        LOOKUP(ROW('Input Harian'!$B$5:$B$104),
                               ROW('Input Harian'!$B$5:$B$104)/('Input Harian'!$B$5:$B$104&lt;&gt;""),
                               'Input Harian'!$B$5:$B$104),
                        'Input Harian'!$B$5:$B$104),
        $B11,
        'Input Harian'!$D$5:$D$104,"*"&amp;D$4&amp;"*")</f>
        <v>12000</v>
      </c>
      <c r="E11" s="39">
        <f t="array" ref="E11">SUMIFS('Input Harian'!$F$5:$F$104,
        IF('Input Harian'!$B$5:$B$104="",
                        LOOKUP(ROW('Input Harian'!$B$5:$B$104),
                               ROW('Input Harian'!$B$5:$B$104)/('Input Harian'!$B$5:$B$104&lt;&gt;""),
                               'Input Harian'!$B$5:$B$104),
                        'Input Harian'!$B$5:$B$104),
        $B11,
        'Input Harian'!$D$5:$D$104,"*"&amp;E$4&amp;"*")</f>
        <v>0</v>
      </c>
      <c r="F11" s="39">
        <f t="array" ref="F11">SUMIFS('Input Harian'!$F$5:$F$104,
        IF('Input Harian'!$B$5:$B$104="",
                        LOOKUP(ROW('Input Harian'!$B$5:$B$104),
                               ROW('Input Harian'!$B$5:$B$104)/('Input Harian'!$B$5:$B$104&lt;&gt;""),
                               'Input Harian'!$B$5:$B$104),
                        'Input Harian'!$B$5:$B$104),
        $B11,
        'Input Harian'!$D$5:$D$104,"*Belanja*")</f>
        <v>0</v>
      </c>
      <c r="G11" s="39">
        <f t="array" ref="G11">SUMIFS('Input Harian'!$F$5:$F$104,
        IF('Input Harian'!$B$5:$B$104="",
                        LOOKUP(ROW('Input Harian'!$B$5:$B$104),
                               ROW('Input Harian'!$B$5:$B$104)/('Input Harian'!$B$5:$B$104&lt;&gt;""),
                               'Input Harian'!$B$5:$B$104),
                        'Input Harian'!$B$5:$B$104),
        $B11,
        'Input Harian'!$D$5:$D$104,"*"&amp;G$4&amp;"*")</f>
        <v>0</v>
      </c>
      <c r="H11" s="39">
        <f t="array" ref="H11">SUMIFS('Input Harian'!$F$5:$F$104,
        IF('Input Harian'!$B$5:$B$104="",
                        LOOKUP(ROW('Input Harian'!$B$5:$B$104),
                               ROW('Input Harian'!$B$5:$B$104)/('Input Harian'!$B$5:$B$104&lt;&gt;""),
                               'Input Harian'!$B$5:$B$104),
                        'Input Harian'!$B$5:$B$104),
        $B11,
        'Input Harian'!$D$5:$D$104,"*"&amp;H$4&amp;"*")</f>
        <v>0</v>
      </c>
      <c r="I11" s="39">
        <f t="array" ref="I11">SUMIFS('Input Harian'!$F$5:$F$104,
        IF('Input Harian'!$B$5:$B$104="",
                        LOOKUP(ROW('Input Harian'!$B$5:$B$104),
                               ROW('Input Harian'!$B$5:$B$104)/('Input Harian'!$B$5:$B$104&lt;&gt;""),
                               'Input Harian'!$B$5:$B$104),
                        'Input Harian'!$B$5:$B$104),
        $B11,
        'Input Harian'!$D$5:$D$104,"*"&amp;I$4&amp;"*")</f>
        <v>0</v>
      </c>
      <c r="J11" s="40">
        <f t="shared" si="1"/>
        <v>12000</v>
      </c>
    </row>
    <row r="12" ht="15.75" customHeight="1">
      <c r="B12" s="38">
        <v>19.0</v>
      </c>
      <c r="C12" s="38" t="s">
        <v>36</v>
      </c>
      <c r="D12" s="39">
        <f t="array" ref="D12">SUMIFS('Input Harian'!$F$5:$F$104,
        IF('Input Harian'!$B$5:$B$104="",
                        LOOKUP(ROW('Input Harian'!$B$5:$B$104),
                               ROW('Input Harian'!$B$5:$B$104)/('Input Harian'!$B$5:$B$104&lt;&gt;""),
                               'Input Harian'!$B$5:$B$104),
                        'Input Harian'!$B$5:$B$104),
        $B12,
        'Input Harian'!$D$5:$D$104,"*"&amp;D$4&amp;"*")</f>
        <v>50000</v>
      </c>
      <c r="E12" s="39">
        <f t="array" ref="E12">SUMIFS('Input Harian'!$F$5:$F$104,
        IF('Input Harian'!$B$5:$B$104="",
                        LOOKUP(ROW('Input Harian'!$B$5:$B$104),
                               ROW('Input Harian'!$B$5:$B$104)/('Input Harian'!$B$5:$B$104&lt;&gt;""),
                               'Input Harian'!$B$5:$B$104),
                        'Input Harian'!$B$5:$B$104),
        $B12,
        'Input Harian'!$D$5:$D$104,"*"&amp;E$4&amp;"*")</f>
        <v>20000</v>
      </c>
      <c r="F12" s="39">
        <f t="array" ref="F12">SUMIFS('Input Harian'!$F$5:$F$104,
        IF('Input Harian'!$B$5:$B$104="",
                        LOOKUP(ROW('Input Harian'!$B$5:$B$104),
                               ROW('Input Harian'!$B$5:$B$104)/('Input Harian'!$B$5:$B$104&lt;&gt;""),
                               'Input Harian'!$B$5:$B$104),
                        'Input Harian'!$B$5:$B$104),
        $B12,
        'Input Harian'!$D$5:$D$104,"*Belanja*")</f>
        <v>0</v>
      </c>
      <c r="G12" s="39">
        <f t="array" ref="G12">SUMIFS('Input Harian'!$F$5:$F$104,
        IF('Input Harian'!$B$5:$B$104="",
                        LOOKUP(ROW('Input Harian'!$B$5:$B$104),
                               ROW('Input Harian'!$B$5:$B$104)/('Input Harian'!$B$5:$B$104&lt;&gt;""),
                               'Input Harian'!$B$5:$B$104),
                        'Input Harian'!$B$5:$B$104),
        $B12,
        'Input Harian'!$D$5:$D$104,"*"&amp;G$4&amp;"*")</f>
        <v>38500</v>
      </c>
      <c r="H12" s="39">
        <f t="array" ref="H12">SUMIFS('Input Harian'!$F$5:$F$104,
        IF('Input Harian'!$B$5:$B$104="",
                        LOOKUP(ROW('Input Harian'!$B$5:$B$104),
                               ROW('Input Harian'!$B$5:$B$104)/('Input Harian'!$B$5:$B$104&lt;&gt;""),
                               'Input Harian'!$B$5:$B$104),
                        'Input Harian'!$B$5:$B$104),
        $B12,
        'Input Harian'!$D$5:$D$104,"*"&amp;H$4&amp;"*")</f>
        <v>0</v>
      </c>
      <c r="I12" s="39">
        <f t="array" ref="I12">SUMIFS('Input Harian'!$F$5:$F$104,
        IF('Input Harian'!$B$5:$B$104="",
                        LOOKUP(ROW('Input Harian'!$B$5:$B$104),
                               ROW('Input Harian'!$B$5:$B$104)/('Input Harian'!$B$5:$B$104&lt;&gt;""),
                               'Input Harian'!$B$5:$B$104),
                        'Input Harian'!$B$5:$B$104),
        $B12,
        'Input Harian'!$D$5:$D$104,"*"&amp;I$4&amp;"*")</f>
        <v>6000</v>
      </c>
      <c r="J12" s="40">
        <f t="shared" si="1"/>
        <v>114500</v>
      </c>
    </row>
    <row r="13" ht="15.75" customHeight="1">
      <c r="B13" s="38">
        <v>20.0</v>
      </c>
      <c r="C13" s="38" t="s">
        <v>44</v>
      </c>
      <c r="D13" s="39">
        <f t="array" ref="D13">SUMIFS('Input Harian'!$F$5:$F$104,
        IF('Input Harian'!$B$5:$B$104="",
                        LOOKUP(ROW('Input Harian'!$B$5:$B$104),
                               ROW('Input Harian'!$B$5:$B$104)/('Input Harian'!$B$5:$B$104&lt;&gt;""),
                               'Input Harian'!$B$5:$B$104),
                        'Input Harian'!$B$5:$B$104),
        $B13,
        'Input Harian'!$D$5:$D$104,"*"&amp;D$4&amp;"*")</f>
        <v>35000</v>
      </c>
      <c r="E13" s="39">
        <f t="array" ref="E13">SUMIFS('Input Harian'!$F$5:$F$104,
        IF('Input Harian'!$B$5:$B$104="",
                        LOOKUP(ROW('Input Harian'!$B$5:$B$104),
                               ROW('Input Harian'!$B$5:$B$104)/('Input Harian'!$B$5:$B$104&lt;&gt;""),
                               'Input Harian'!$B$5:$B$104),
                        'Input Harian'!$B$5:$B$104),
        $B13,
        'Input Harian'!$D$5:$D$104,"*"&amp;E$4&amp;"*")</f>
        <v>20000</v>
      </c>
      <c r="F13" s="39">
        <f t="array" ref="F13">SUMIFS('Input Harian'!$F$5:$F$104,
        IF('Input Harian'!$B$5:$B$104="",
                        LOOKUP(ROW('Input Harian'!$B$5:$B$104),
                               ROW('Input Harian'!$B$5:$B$104)/('Input Harian'!$B$5:$B$104&lt;&gt;""),
                               'Input Harian'!$B$5:$B$104),
                        'Input Harian'!$B$5:$B$104),
        $B13,
        'Input Harian'!$D$5:$D$104,"*Belanja*")</f>
        <v>9000</v>
      </c>
      <c r="G13" s="39">
        <f t="array" ref="G13">SUMIFS('Input Harian'!$F$5:$F$104,
        IF('Input Harian'!$B$5:$B$104="",
                        LOOKUP(ROW('Input Harian'!$B$5:$B$104),
                               ROW('Input Harian'!$B$5:$B$104)/('Input Harian'!$B$5:$B$104&lt;&gt;""),
                               'Input Harian'!$B$5:$B$104),
                        'Input Harian'!$B$5:$B$104),
        $B13,
        'Input Harian'!$D$5:$D$104,"*"&amp;G$4&amp;"*")</f>
        <v>0</v>
      </c>
      <c r="H13" s="39">
        <f t="array" ref="H13">SUMIFS('Input Harian'!$F$5:$F$104,
        IF('Input Harian'!$B$5:$B$104="",
                        LOOKUP(ROW('Input Harian'!$B$5:$B$104),
                               ROW('Input Harian'!$B$5:$B$104)/('Input Harian'!$B$5:$B$104&lt;&gt;""),
                               'Input Harian'!$B$5:$B$104),
                        'Input Harian'!$B$5:$B$104),
        $B13,
        'Input Harian'!$D$5:$D$104,"*"&amp;H$4&amp;"*")</f>
        <v>0</v>
      </c>
      <c r="I13" s="39">
        <f t="array" ref="I13">SUMIFS('Input Harian'!$F$5:$F$104,
        IF('Input Harian'!$B$5:$B$104="",
                        LOOKUP(ROW('Input Harian'!$B$5:$B$104),
                               ROW('Input Harian'!$B$5:$B$104)/('Input Harian'!$B$5:$B$104&lt;&gt;""),
                               'Input Harian'!$B$5:$B$104),
                        'Input Harian'!$B$5:$B$104),
        $B13,
        'Input Harian'!$D$5:$D$104,"*"&amp;I$4&amp;"*")</f>
        <v>4000</v>
      </c>
      <c r="J13" s="40">
        <f t="shared" si="1"/>
        <v>68000</v>
      </c>
    </row>
    <row r="14" ht="15.75" customHeight="1">
      <c r="B14" s="38">
        <v>21.0</v>
      </c>
      <c r="C14" s="38" t="s">
        <v>50</v>
      </c>
      <c r="D14" s="39">
        <f t="array" ref="D14">SUMIFS('Input Harian'!$F$5:$F$104,
        IF('Input Harian'!$B$5:$B$104="",
                        LOOKUP(ROW('Input Harian'!$B$5:$B$104),
                               ROW('Input Harian'!$B$5:$B$104)/('Input Harian'!$B$5:$B$104&lt;&gt;""),
                               'Input Harian'!$B$5:$B$104),
                        'Input Harian'!$B$5:$B$104),
        $B14,
        'Input Harian'!$D$5:$D$104,"*"&amp;D$4&amp;"*")</f>
        <v>0</v>
      </c>
      <c r="E14" s="39">
        <f t="array" ref="E14">SUMIFS('Input Harian'!$F$5:$F$104,
        IF('Input Harian'!$B$5:$B$104="",
                        LOOKUP(ROW('Input Harian'!$B$5:$B$104),
                               ROW('Input Harian'!$B$5:$B$104)/('Input Harian'!$B$5:$B$104&lt;&gt;""),
                               'Input Harian'!$B$5:$B$104),
                        'Input Harian'!$B$5:$B$104),
        $B14,
        'Input Harian'!$D$5:$D$104,"*"&amp;E$4&amp;"*")</f>
        <v>0</v>
      </c>
      <c r="F14" s="39">
        <f t="array" ref="F14">SUMIFS('Input Harian'!$F$5:$F$104,
        IF('Input Harian'!$B$5:$B$104="",
                        LOOKUP(ROW('Input Harian'!$B$5:$B$104),
                               ROW('Input Harian'!$B$5:$B$104)/('Input Harian'!$B$5:$B$104&lt;&gt;""),
                               'Input Harian'!$B$5:$B$104),
                        'Input Harian'!$B$5:$B$104),
        $B14,
        'Input Harian'!$D$5:$D$104,"*Belanja*")</f>
        <v>0</v>
      </c>
      <c r="G14" s="39">
        <f t="array" ref="G14">SUMIFS('Input Harian'!$F$5:$F$104,
        IF('Input Harian'!$B$5:$B$104="",
                        LOOKUP(ROW('Input Harian'!$B$5:$B$104),
                               ROW('Input Harian'!$B$5:$B$104)/('Input Harian'!$B$5:$B$104&lt;&gt;""),
                               'Input Harian'!$B$5:$B$104),
                        'Input Harian'!$B$5:$B$104),
        $B14,
        'Input Harian'!$D$5:$D$104,"*"&amp;G$4&amp;"*")</f>
        <v>0</v>
      </c>
      <c r="H14" s="39">
        <f t="array" ref="H14">SUMIFS('Input Harian'!$F$5:$F$104,
        IF('Input Harian'!$B$5:$B$104="",
                        LOOKUP(ROW('Input Harian'!$B$5:$B$104),
                               ROW('Input Harian'!$B$5:$B$104)/('Input Harian'!$B$5:$B$104&lt;&gt;""),
                               'Input Harian'!$B$5:$B$104),
                        'Input Harian'!$B$5:$B$104),
        $B14,
        'Input Harian'!$D$5:$D$104,"*"&amp;H$4&amp;"*")</f>
        <v>0</v>
      </c>
      <c r="I14" s="39">
        <f t="array" ref="I14">SUMIFS('Input Harian'!$F$5:$F$104,
        IF('Input Harian'!$B$5:$B$104="",
                        LOOKUP(ROW('Input Harian'!$B$5:$B$104),
                               ROW('Input Harian'!$B$5:$B$104)/('Input Harian'!$B$5:$B$104&lt;&gt;""),
                               'Input Harian'!$B$5:$B$104),
                        'Input Harian'!$B$5:$B$104),
        $B14,
        'Input Harian'!$D$5:$D$104,"*"&amp;I$4&amp;"*")</f>
        <v>0</v>
      </c>
      <c r="J14" s="40">
        <f t="shared" si="1"/>
        <v>0</v>
      </c>
    </row>
    <row r="15" ht="15.75" customHeight="1">
      <c r="B15" s="38">
        <v>22.0</v>
      </c>
      <c r="C15" s="38" t="s">
        <v>53</v>
      </c>
      <c r="D15" s="39">
        <f t="array" ref="D15">SUMIFS('Input Harian'!$F$5:$F$104,
        IF('Input Harian'!$B$5:$B$104="",
                        LOOKUP(ROW('Input Harian'!$B$5:$B$104),
                               ROW('Input Harian'!$B$5:$B$104)/('Input Harian'!$B$5:$B$104&lt;&gt;""),
                               'Input Harian'!$B$5:$B$104),
                        'Input Harian'!$B$5:$B$104),
        $B15,
        'Input Harian'!$D$5:$D$104,"*"&amp;D$4&amp;"*")</f>
        <v>15000</v>
      </c>
      <c r="E15" s="39">
        <f t="array" ref="E15">SUMIFS('Input Harian'!$F$5:$F$104,
        IF('Input Harian'!$B$5:$B$104="",
                        LOOKUP(ROW('Input Harian'!$B$5:$B$104),
                               ROW('Input Harian'!$B$5:$B$104)/('Input Harian'!$B$5:$B$104&lt;&gt;""),
                               'Input Harian'!$B$5:$B$104),
                        'Input Harian'!$B$5:$B$104),
        $B15,
        'Input Harian'!$D$5:$D$104,"*"&amp;E$4&amp;"*")</f>
        <v>10000</v>
      </c>
      <c r="F15" s="39">
        <f t="array" ref="F15">SUMIFS('Input Harian'!$F$5:$F$104,
        IF('Input Harian'!$B$5:$B$104="",
                        LOOKUP(ROW('Input Harian'!$B$5:$B$104),
                               ROW('Input Harian'!$B$5:$B$104)/('Input Harian'!$B$5:$B$104&lt;&gt;""),
                               'Input Harian'!$B$5:$B$104),
                        'Input Harian'!$B$5:$B$104),
        $B15,
        'Input Harian'!$D$5:$D$104,"*Belanja*")</f>
        <v>0</v>
      </c>
      <c r="G15" s="39">
        <f t="array" ref="G15">SUMIFS('Input Harian'!$F$5:$F$104,
        IF('Input Harian'!$B$5:$B$104="",
                        LOOKUP(ROW('Input Harian'!$B$5:$B$104),
                               ROW('Input Harian'!$B$5:$B$104)/('Input Harian'!$B$5:$B$104&lt;&gt;""),
                               'Input Harian'!$B$5:$B$104),
                        'Input Harian'!$B$5:$B$104),
        $B15,
        'Input Harian'!$D$5:$D$104,"*"&amp;G$4&amp;"*")</f>
        <v>0</v>
      </c>
      <c r="H15" s="39">
        <f t="array" ref="H15">SUMIFS('Input Harian'!$F$5:$F$104,
        IF('Input Harian'!$B$5:$B$104="",
                        LOOKUP(ROW('Input Harian'!$B$5:$B$104),
                               ROW('Input Harian'!$B$5:$B$104)/('Input Harian'!$B$5:$B$104&lt;&gt;""),
                               'Input Harian'!$B$5:$B$104),
                        'Input Harian'!$B$5:$B$104),
        $B15,
        'Input Harian'!$D$5:$D$104,"*"&amp;H$4&amp;"*")</f>
        <v>0</v>
      </c>
      <c r="I15" s="39">
        <f t="array" ref="I15">SUMIFS('Input Harian'!$F$5:$F$104,
        IF('Input Harian'!$B$5:$B$104="",
                        LOOKUP(ROW('Input Harian'!$B$5:$B$104),
                               ROW('Input Harian'!$B$5:$B$104)/('Input Harian'!$B$5:$B$104&lt;&gt;""),
                               'Input Harian'!$B$5:$B$104),
                        'Input Harian'!$B$5:$B$104),
        $B15,
        'Input Harian'!$D$5:$D$104,"*"&amp;I$4&amp;"*")</f>
        <v>2000</v>
      </c>
      <c r="J15" s="40">
        <f t="shared" si="1"/>
        <v>27000</v>
      </c>
    </row>
    <row r="16" ht="15.75" customHeight="1">
      <c r="B16" s="38">
        <v>23.0</v>
      </c>
      <c r="C16" s="41" t="s">
        <v>54</v>
      </c>
      <c r="D16" s="39">
        <f t="array" ref="D16">SUMIFS('Input Harian'!$F$5:$F$104,
        IF('Input Harian'!$B$5:$B$104="",
                        LOOKUP(ROW('Input Harian'!$B$5:$B$104),
                               ROW('Input Harian'!$B$5:$B$104)/('Input Harian'!$B$5:$B$104&lt;&gt;""),
                               'Input Harian'!$B$5:$B$104),
                        'Input Harian'!$B$5:$B$104),
        $B16,
        'Input Harian'!$D$5:$D$104,"*"&amp;D$4&amp;"*")</f>
        <v>4000</v>
      </c>
      <c r="E16" s="39">
        <f t="array" ref="E16">SUMIFS('Input Harian'!$F$5:$F$104,
        IF('Input Harian'!$B$5:$B$104="",
                        LOOKUP(ROW('Input Harian'!$B$5:$B$104),
                               ROW('Input Harian'!$B$5:$B$104)/('Input Harian'!$B$5:$B$104&lt;&gt;""),
                               'Input Harian'!$B$5:$B$104),
                        'Input Harian'!$B$5:$B$104),
        $B16,
        'Input Harian'!$D$5:$D$104,"*"&amp;E$4&amp;"*")</f>
        <v>0</v>
      </c>
      <c r="F16" s="39">
        <f t="array" ref="F16">SUMIFS('Input Harian'!$F$5:$F$104,
        IF('Input Harian'!$B$5:$B$104="",
                        LOOKUP(ROW('Input Harian'!$B$5:$B$104),
                               ROW('Input Harian'!$B$5:$B$104)/('Input Harian'!$B$5:$B$104&lt;&gt;""),
                               'Input Harian'!$B$5:$B$104),
                        'Input Harian'!$B$5:$B$104),
        $B16,
        'Input Harian'!$D$5:$D$104,"*Belanja*")</f>
        <v>0</v>
      </c>
      <c r="G16" s="39">
        <f t="array" ref="G16">SUMIFS('Input Harian'!$F$5:$F$104,
        IF('Input Harian'!$B$5:$B$104="",
                        LOOKUP(ROW('Input Harian'!$B$5:$B$104),
                               ROW('Input Harian'!$B$5:$B$104)/('Input Harian'!$B$5:$B$104&lt;&gt;""),
                               'Input Harian'!$B$5:$B$104),
                        'Input Harian'!$B$5:$B$104),
        $B16,
        'Input Harian'!$D$5:$D$104,"*"&amp;G$4&amp;"*")</f>
        <v>0</v>
      </c>
      <c r="H16" s="39">
        <f t="array" ref="H16">SUMIFS('Input Harian'!$F$5:$F$104,
        IF('Input Harian'!$B$5:$B$104="",
                        LOOKUP(ROW('Input Harian'!$B$5:$B$104),
                               ROW('Input Harian'!$B$5:$B$104)/('Input Harian'!$B$5:$B$104&lt;&gt;""),
                               'Input Harian'!$B$5:$B$104),
                        'Input Harian'!$B$5:$B$104),
        $B16,
        'Input Harian'!$D$5:$D$104,"*"&amp;H$4&amp;"*")</f>
        <v>0</v>
      </c>
      <c r="I16" s="39">
        <f t="array" ref="I16">SUMIFS('Input Harian'!$F$5:$F$104,
        IF('Input Harian'!$B$5:$B$104="",
                        LOOKUP(ROW('Input Harian'!$B$5:$B$104),
                               ROW('Input Harian'!$B$5:$B$104)/('Input Harian'!$B$5:$B$104&lt;&gt;""),
                               'Input Harian'!$B$5:$B$104),
                        'Input Harian'!$B$5:$B$104),
        $B16,
        'Input Harian'!$D$5:$D$104,"*"&amp;I$4&amp;"*")</f>
        <v>0</v>
      </c>
      <c r="J16" s="40">
        <f t="shared" si="1"/>
        <v>4000</v>
      </c>
    </row>
    <row r="17" ht="15.75" customHeight="1">
      <c r="B17" s="38">
        <v>24.0</v>
      </c>
      <c r="C17" s="41" t="s">
        <v>55</v>
      </c>
      <c r="D17" s="39">
        <f t="array" ref="D17">SUMIFS('Input Harian'!$F$5:$F$104,
        IF('Input Harian'!$B$5:$B$104="",
                        LOOKUP(ROW('Input Harian'!$B$5:$B$104),
                               ROW('Input Harian'!$B$5:$B$104)/('Input Harian'!$B$5:$B$104&lt;&gt;""),
                               'Input Harian'!$B$5:$B$104),
                        'Input Harian'!$B$5:$B$104),
        $B17,
        'Input Harian'!$D$5:$D$104,"*"&amp;D$4&amp;"*")</f>
        <v>47000</v>
      </c>
      <c r="E17" s="39">
        <f t="array" ref="E17">SUMIFS('Input Harian'!$F$5:$F$104,
        IF('Input Harian'!$B$5:$B$104="",
                        LOOKUP(ROW('Input Harian'!$B$5:$B$104),
                               ROW('Input Harian'!$B$5:$B$104)/('Input Harian'!$B$5:$B$104&lt;&gt;""),
                               'Input Harian'!$B$5:$B$104),
                        'Input Harian'!$B$5:$B$104),
        $B17,
        'Input Harian'!$D$5:$D$104,"*"&amp;E$4&amp;"*")</f>
        <v>20000</v>
      </c>
      <c r="F17" s="39">
        <f t="array" ref="F17">SUMIFS('Input Harian'!$F$5:$F$104,
        IF('Input Harian'!$B$5:$B$104="",
                        LOOKUP(ROW('Input Harian'!$B$5:$B$104),
                               ROW('Input Harian'!$B$5:$B$104)/('Input Harian'!$B$5:$B$104&lt;&gt;""),
                               'Input Harian'!$B$5:$B$104),
                        'Input Harian'!$B$5:$B$104),
        $B17,
        'Input Harian'!$D$5:$D$104,"*Belanja*")</f>
        <v>0</v>
      </c>
      <c r="G17" s="39">
        <f t="array" ref="G17">SUMIFS('Input Harian'!$F$5:$F$104,
        IF('Input Harian'!$B$5:$B$104="",
                        LOOKUP(ROW('Input Harian'!$B$5:$B$104),
                               ROW('Input Harian'!$B$5:$B$104)/('Input Harian'!$B$5:$B$104&lt;&gt;""),
                               'Input Harian'!$B$5:$B$104),
                        'Input Harian'!$B$5:$B$104),
        $B17,
        'Input Harian'!$D$5:$D$104,"*"&amp;G$4&amp;"*")</f>
        <v>0</v>
      </c>
      <c r="H17" s="39">
        <f t="array" ref="H17">SUMIFS('Input Harian'!$F$5:$F$104,
        IF('Input Harian'!$B$5:$B$104="",
                        LOOKUP(ROW('Input Harian'!$B$5:$B$104),
                               ROW('Input Harian'!$B$5:$B$104)/('Input Harian'!$B$5:$B$104&lt;&gt;""),
                               'Input Harian'!$B$5:$B$104),
                        'Input Harian'!$B$5:$B$104),
        $B17,
        'Input Harian'!$D$5:$D$104,"*"&amp;H$4&amp;"*")</f>
        <v>0</v>
      </c>
      <c r="I17" s="39">
        <f t="array" ref="I17">SUMIFS('Input Harian'!$F$5:$F$104,
        IF('Input Harian'!$B$5:$B$104="",
                        LOOKUP(ROW('Input Harian'!$B$5:$B$104),
                               ROW('Input Harian'!$B$5:$B$104)/('Input Harian'!$B$5:$B$104&lt;&gt;""),
                               'Input Harian'!$B$5:$B$104),
                        'Input Harian'!$B$5:$B$104),
        $B17,
        'Input Harian'!$D$5:$D$104,"*"&amp;I$4&amp;"*")</f>
        <v>4000</v>
      </c>
      <c r="J17" s="40">
        <f t="shared" si="1"/>
        <v>71000</v>
      </c>
    </row>
    <row r="18" ht="15.75" customHeight="1">
      <c r="B18" s="38">
        <v>25.0</v>
      </c>
      <c r="C18" s="38" t="s">
        <v>57</v>
      </c>
      <c r="D18" s="39">
        <f t="array" ref="D18">SUMIFS('Input Harian'!$F$5:$F$104,
        IF('Input Harian'!$B$5:$B$104="",
                        LOOKUP(ROW('Input Harian'!$B$5:$B$104),
                               ROW('Input Harian'!$B$5:$B$104)/('Input Harian'!$B$5:$B$104&lt;&gt;""),
                               'Input Harian'!$B$5:$B$104),
                        'Input Harian'!$B$5:$B$104),
        $B18,
        'Input Harian'!$D$5:$D$104,"*"&amp;D$4&amp;"*")</f>
        <v>35000</v>
      </c>
      <c r="E18" s="39">
        <f t="array" ref="E18">SUMIFS('Input Harian'!$F$5:$F$104,
        IF('Input Harian'!$B$5:$B$104="",
                        LOOKUP(ROW('Input Harian'!$B$5:$B$104),
                               ROW('Input Harian'!$B$5:$B$104)/('Input Harian'!$B$5:$B$104&lt;&gt;""),
                               'Input Harian'!$B$5:$B$104),
                        'Input Harian'!$B$5:$B$104),
        $B18,
        'Input Harian'!$D$5:$D$104,"*"&amp;E$4&amp;"*")</f>
        <v>10000</v>
      </c>
      <c r="F18" s="39">
        <f t="array" ref="F18">SUMIFS('Input Harian'!$F$5:$F$104,
        IF('Input Harian'!$B$5:$B$104="",
                        LOOKUP(ROW('Input Harian'!$B$5:$B$104),
                               ROW('Input Harian'!$B$5:$B$104)/('Input Harian'!$B$5:$B$104&lt;&gt;""),
                               'Input Harian'!$B$5:$B$104),
                        'Input Harian'!$B$5:$B$104),
        $B18,
        'Input Harian'!$D$5:$D$104,"*Belanja*")</f>
        <v>0</v>
      </c>
      <c r="G18" s="39">
        <f t="array" ref="G18">SUMIFS('Input Harian'!$F$5:$F$104,
        IF('Input Harian'!$B$5:$B$104="",
                        LOOKUP(ROW('Input Harian'!$B$5:$B$104),
                               ROW('Input Harian'!$B$5:$B$104)/('Input Harian'!$B$5:$B$104&lt;&gt;""),
                               'Input Harian'!$B$5:$B$104),
                        'Input Harian'!$B$5:$B$104),
        $B18,
        'Input Harian'!$D$5:$D$104,"*"&amp;G$4&amp;"*")</f>
        <v>0</v>
      </c>
      <c r="H18" s="39">
        <f t="array" ref="H18">SUMIFS('Input Harian'!$F$5:$F$104,
        IF('Input Harian'!$B$5:$B$104="",
                        LOOKUP(ROW('Input Harian'!$B$5:$B$104),
                               ROW('Input Harian'!$B$5:$B$104)/('Input Harian'!$B$5:$B$104&lt;&gt;""),
                               'Input Harian'!$B$5:$B$104),
                        'Input Harian'!$B$5:$B$104),
        $B18,
        'Input Harian'!$D$5:$D$104,"*"&amp;H$4&amp;"*")</f>
        <v>0</v>
      </c>
      <c r="I18" s="39">
        <f t="array" ref="I18">SUMIFS('Input Harian'!$F$5:$F$104,
        IF('Input Harian'!$B$5:$B$104="",
                        LOOKUP(ROW('Input Harian'!$B$5:$B$104),
                               ROW('Input Harian'!$B$5:$B$104)/('Input Harian'!$B$5:$B$104&lt;&gt;""),
                               'Input Harian'!$B$5:$B$104),
                        'Input Harian'!$B$5:$B$104),
        $B18,
        'Input Harian'!$D$5:$D$104,"*"&amp;I$4&amp;"*")</f>
        <v>4000</v>
      </c>
      <c r="J18" s="40">
        <f t="shared" si="1"/>
        <v>49000</v>
      </c>
    </row>
    <row r="19" ht="15.75" customHeight="1">
      <c r="B19" s="38">
        <v>26.0</v>
      </c>
      <c r="C19" s="38" t="s">
        <v>36</v>
      </c>
      <c r="D19" s="39">
        <f t="array" ref="D19">SUMIFS('Input Harian'!$F$5:$F$104,
        IF('Input Harian'!$B$5:$B$104="",
                        LOOKUP(ROW('Input Harian'!$B$5:$B$104),
                               ROW('Input Harian'!$B$5:$B$104)/('Input Harian'!$B$5:$B$104&lt;&gt;""),
                               'Input Harian'!$B$5:$B$104),
                        'Input Harian'!$B$5:$B$104),
        $B19,
        'Input Harian'!$D$5:$D$104,"*"&amp;D$4&amp;"*")</f>
        <v>25000</v>
      </c>
      <c r="E19" s="39">
        <f t="array" ref="E19">SUMIFS('Input Harian'!$F$5:$F$104,
        IF('Input Harian'!$B$5:$B$104="",
                        LOOKUP(ROW('Input Harian'!$B$5:$B$104),
                               ROW('Input Harian'!$B$5:$B$104)/('Input Harian'!$B$5:$B$104&lt;&gt;""),
                               'Input Harian'!$B$5:$B$104),
                        'Input Harian'!$B$5:$B$104),
        $B19,
        'Input Harian'!$D$5:$D$104,"*"&amp;E$4&amp;"*")</f>
        <v>10000</v>
      </c>
      <c r="F19" s="39">
        <f t="array" ref="F19">SUMIFS('Input Harian'!$F$5:$F$104,
        IF('Input Harian'!$B$5:$B$104="",
                        LOOKUP(ROW('Input Harian'!$B$5:$B$104),
                               ROW('Input Harian'!$B$5:$B$104)/('Input Harian'!$B$5:$B$104&lt;&gt;""),
                               'Input Harian'!$B$5:$B$104),
                        'Input Harian'!$B$5:$B$104),
        $B19,
        'Input Harian'!$D$5:$D$104,"*Belanja*")</f>
        <v>0</v>
      </c>
      <c r="G19" s="39">
        <f t="array" ref="G19">SUMIFS('Input Harian'!$F$5:$F$104,
        IF('Input Harian'!$B$5:$B$104="",
                        LOOKUP(ROW('Input Harian'!$B$5:$B$104),
                               ROW('Input Harian'!$B$5:$B$104)/('Input Harian'!$B$5:$B$104&lt;&gt;""),
                               'Input Harian'!$B$5:$B$104),
                        'Input Harian'!$B$5:$B$104),
        $B19,
        'Input Harian'!$D$5:$D$104,"*"&amp;G$4&amp;"*")</f>
        <v>0</v>
      </c>
      <c r="H19" s="39">
        <f t="array" ref="H19">SUMIFS('Input Harian'!$F$5:$F$104,
        IF('Input Harian'!$B$5:$B$104="",
                        LOOKUP(ROW('Input Harian'!$B$5:$B$104),
                               ROW('Input Harian'!$B$5:$B$104)/('Input Harian'!$B$5:$B$104&lt;&gt;""),
                               'Input Harian'!$B$5:$B$104),
                        'Input Harian'!$B$5:$B$104),
        $B19,
        'Input Harian'!$D$5:$D$104,"*"&amp;H$4&amp;"*")</f>
        <v>0</v>
      </c>
      <c r="I19" s="39">
        <f t="array" ref="I19">SUMIFS('Input Harian'!$F$5:$F$104,
        IF('Input Harian'!$B$5:$B$104="",
                        LOOKUP(ROW('Input Harian'!$B$5:$B$104),
                               ROW('Input Harian'!$B$5:$B$104)/('Input Harian'!$B$5:$B$104&lt;&gt;""),
                               'Input Harian'!$B$5:$B$104),
                        'Input Harian'!$B$5:$B$104),
        $B19,
        'Input Harian'!$D$5:$D$104,"*"&amp;I$4&amp;"*")</f>
        <v>50000</v>
      </c>
      <c r="J19" s="40">
        <f t="shared" si="1"/>
        <v>85000</v>
      </c>
    </row>
    <row r="20" ht="15.75" customHeight="1">
      <c r="B20" s="38">
        <v>27.0</v>
      </c>
      <c r="C20" s="38" t="s">
        <v>44</v>
      </c>
      <c r="D20" s="39">
        <f t="array" ref="D20">SUMIFS('Input Harian'!$F$5:$F$104,
        IF('Input Harian'!$B$5:$B$104="",
                        LOOKUP(ROW('Input Harian'!$B$5:$B$104),
                               ROW('Input Harian'!$B$5:$B$104)/('Input Harian'!$B$5:$B$104&lt;&gt;""),
                               'Input Harian'!$B$5:$B$104),
                        'Input Harian'!$B$5:$B$104),
        $B20,
        'Input Harian'!$D$5:$D$104,"*"&amp;D$4&amp;"*")</f>
        <v>0</v>
      </c>
      <c r="E20" s="39">
        <f t="array" ref="E20">SUMIFS('Input Harian'!$F$5:$F$104,
        IF('Input Harian'!$B$5:$B$104="",
                        LOOKUP(ROW('Input Harian'!$B$5:$B$104),
                               ROW('Input Harian'!$B$5:$B$104)/('Input Harian'!$B$5:$B$104&lt;&gt;""),
                               'Input Harian'!$B$5:$B$104),
                        'Input Harian'!$B$5:$B$104),
        $B20,
        'Input Harian'!$D$5:$D$104,"*"&amp;E$4&amp;"*")</f>
        <v>0</v>
      </c>
      <c r="F20" s="39">
        <f t="array" ref="F20">SUMIFS('Input Harian'!$F$5:$F$104,
        IF('Input Harian'!$B$5:$B$104="",
                        LOOKUP(ROW('Input Harian'!$B$5:$B$104),
                               ROW('Input Harian'!$B$5:$B$104)/('Input Harian'!$B$5:$B$104&lt;&gt;""),
                               'Input Harian'!$B$5:$B$104),
                        'Input Harian'!$B$5:$B$104),
        $B20,
        'Input Harian'!$D$5:$D$104,"*Belanja*")</f>
        <v>0</v>
      </c>
      <c r="G20" s="39">
        <f t="array" ref="G20">SUMIFS('Input Harian'!$F$5:$F$104,
        IF('Input Harian'!$B$5:$B$104="",
                        LOOKUP(ROW('Input Harian'!$B$5:$B$104),
                               ROW('Input Harian'!$B$5:$B$104)/('Input Harian'!$B$5:$B$104&lt;&gt;""),
                               'Input Harian'!$B$5:$B$104),
                        'Input Harian'!$B$5:$B$104),
        $B20,
        'Input Harian'!$D$5:$D$104,"*"&amp;G$4&amp;"*")</f>
        <v>0</v>
      </c>
      <c r="H20" s="39">
        <f t="array" ref="H20">SUMIFS('Input Harian'!$F$5:$F$104,
        IF('Input Harian'!$B$5:$B$104="",
                        LOOKUP(ROW('Input Harian'!$B$5:$B$104),
                               ROW('Input Harian'!$B$5:$B$104)/('Input Harian'!$B$5:$B$104&lt;&gt;""),
                               'Input Harian'!$B$5:$B$104),
                        'Input Harian'!$B$5:$B$104),
        $B20,
        'Input Harian'!$D$5:$D$104,"*"&amp;H$4&amp;"*")</f>
        <v>0</v>
      </c>
      <c r="I20" s="39">
        <f t="array" ref="I20">SUMIFS('Input Harian'!$F$5:$F$104,
        IF('Input Harian'!$B$5:$B$104="",
                        LOOKUP(ROW('Input Harian'!$B$5:$B$104),
                               ROW('Input Harian'!$B$5:$B$104)/('Input Harian'!$B$5:$B$104&lt;&gt;""),
                               'Input Harian'!$B$5:$B$104),
                        'Input Harian'!$B$5:$B$104),
        $B20,
        'Input Harian'!$D$5:$D$104,"*"&amp;I$4&amp;"*")</f>
        <v>0</v>
      </c>
      <c r="J20" s="40">
        <f t="shared" si="1"/>
        <v>0</v>
      </c>
    </row>
    <row r="21" ht="15.75" customHeight="1">
      <c r="B21" s="38">
        <v>28.0</v>
      </c>
      <c r="C21" s="38" t="s">
        <v>50</v>
      </c>
      <c r="D21" s="39">
        <f t="array" ref="D21">SUMIFS('Input Harian'!$F$5:$F$104,
        IF('Input Harian'!$B$5:$B$104="",
                        LOOKUP(ROW('Input Harian'!$B$5:$B$104),
                               ROW('Input Harian'!$B$5:$B$104)/('Input Harian'!$B$5:$B$104&lt;&gt;""),
                               'Input Harian'!$B$5:$B$104),
                        'Input Harian'!$B$5:$B$104),
        $B21,
        'Input Harian'!$D$5:$D$104,"*"&amp;D$4&amp;"*")</f>
        <v>0</v>
      </c>
      <c r="E21" s="39">
        <f t="array" ref="E21">SUMIFS('Input Harian'!$F$5:$F$104,
        IF('Input Harian'!$B$5:$B$104="",
                        LOOKUP(ROW('Input Harian'!$B$5:$B$104),
                               ROW('Input Harian'!$B$5:$B$104)/('Input Harian'!$B$5:$B$104&lt;&gt;""),
                               'Input Harian'!$B$5:$B$104),
                        'Input Harian'!$B$5:$B$104),
        $B21,
        'Input Harian'!$D$5:$D$104,"*"&amp;E$4&amp;"*")</f>
        <v>0</v>
      </c>
      <c r="F21" s="39">
        <f t="array" ref="F21">SUMIFS('Input Harian'!$F$5:$F$104,
        IF('Input Harian'!$B$5:$B$104="",
                        LOOKUP(ROW('Input Harian'!$B$5:$B$104),
                               ROW('Input Harian'!$B$5:$B$104)/('Input Harian'!$B$5:$B$104&lt;&gt;""),
                               'Input Harian'!$B$5:$B$104),
                        'Input Harian'!$B$5:$B$104),
        $B21,
        'Input Harian'!$D$5:$D$104,"*Belanja*")</f>
        <v>0</v>
      </c>
      <c r="G21" s="39">
        <f t="array" ref="G21">SUMIFS('Input Harian'!$F$5:$F$104,
        IF('Input Harian'!$B$5:$B$104="",
                        LOOKUP(ROW('Input Harian'!$B$5:$B$104),
                               ROW('Input Harian'!$B$5:$B$104)/('Input Harian'!$B$5:$B$104&lt;&gt;""),
                               'Input Harian'!$B$5:$B$104),
                        'Input Harian'!$B$5:$B$104),
        $B21,
        'Input Harian'!$D$5:$D$104,"*"&amp;G$4&amp;"*")</f>
        <v>0</v>
      </c>
      <c r="H21" s="39">
        <f t="array" ref="H21">SUMIFS('Input Harian'!$F$5:$F$104,
        IF('Input Harian'!$B$5:$B$104="",
                        LOOKUP(ROW('Input Harian'!$B$5:$B$104),
                               ROW('Input Harian'!$B$5:$B$104)/('Input Harian'!$B$5:$B$104&lt;&gt;""),
                               'Input Harian'!$B$5:$B$104),
                        'Input Harian'!$B$5:$B$104),
        $B21,
        'Input Harian'!$D$5:$D$104,"*"&amp;H$4&amp;"*")</f>
        <v>0</v>
      </c>
      <c r="I21" s="39">
        <f t="array" ref="I21">SUMIFS('Input Harian'!$F$5:$F$104,
        IF('Input Harian'!$B$5:$B$104="",
                        LOOKUP(ROW('Input Harian'!$B$5:$B$104),
                               ROW('Input Harian'!$B$5:$B$104)/('Input Harian'!$B$5:$B$104&lt;&gt;""),
                               'Input Harian'!$B$5:$B$104),
                        'Input Harian'!$B$5:$B$104),
        $B21,
        'Input Harian'!$D$5:$D$104,"*"&amp;I$4&amp;"*")</f>
        <v>0</v>
      </c>
      <c r="J21" s="40">
        <f t="shared" si="1"/>
        <v>0</v>
      </c>
    </row>
    <row r="22" ht="15.75" customHeight="1">
      <c r="B22" s="38">
        <v>29.0</v>
      </c>
      <c r="C22" s="38" t="s">
        <v>53</v>
      </c>
      <c r="D22" s="39">
        <f t="array" ref="D22">SUMIFS('Input Harian'!$F$5:$F$104,
        IF('Input Harian'!$B$5:$B$104="",
                        LOOKUP(ROW('Input Harian'!$B$5:$B$104),
                               ROW('Input Harian'!$B$5:$B$104)/('Input Harian'!$B$5:$B$104&lt;&gt;""),
                               'Input Harian'!$B$5:$B$104),
                        'Input Harian'!$B$5:$B$104),
        $B22,
        'Input Harian'!$D$5:$D$104,"*"&amp;D$4&amp;"*")</f>
        <v>0</v>
      </c>
      <c r="E22" s="39">
        <f t="array" ref="E22">SUMIFS('Input Harian'!$F$5:$F$104,
        IF('Input Harian'!$B$5:$B$104="",
                        LOOKUP(ROW('Input Harian'!$B$5:$B$104),
                               ROW('Input Harian'!$B$5:$B$104)/('Input Harian'!$B$5:$B$104&lt;&gt;""),
                               'Input Harian'!$B$5:$B$104),
                        'Input Harian'!$B$5:$B$104),
        $B22,
        'Input Harian'!$D$5:$D$104,"*"&amp;E$4&amp;"*")</f>
        <v>0</v>
      </c>
      <c r="F22" s="39">
        <f t="array" ref="F22">SUMIFS('Input Harian'!$F$5:$F$104,
        IF('Input Harian'!$B$5:$B$104="",
                        LOOKUP(ROW('Input Harian'!$B$5:$B$104),
                               ROW('Input Harian'!$B$5:$B$104)/('Input Harian'!$B$5:$B$104&lt;&gt;""),
                               'Input Harian'!$B$5:$B$104),
                        'Input Harian'!$B$5:$B$104),
        $B22,
        'Input Harian'!$D$5:$D$104,"*Belanja*")</f>
        <v>0</v>
      </c>
      <c r="G22" s="39">
        <f t="array" ref="G22">SUMIFS('Input Harian'!$F$5:$F$104,
        IF('Input Harian'!$B$5:$B$104="",
                        LOOKUP(ROW('Input Harian'!$B$5:$B$104),
                               ROW('Input Harian'!$B$5:$B$104)/('Input Harian'!$B$5:$B$104&lt;&gt;""),
                               'Input Harian'!$B$5:$B$104),
                        'Input Harian'!$B$5:$B$104),
        $B22,
        'Input Harian'!$D$5:$D$104,"*"&amp;G$4&amp;"*")</f>
        <v>0</v>
      </c>
      <c r="H22" s="39">
        <f t="array" ref="H22">SUMIFS('Input Harian'!$F$5:$F$104,
        IF('Input Harian'!$B$5:$B$104="",
                        LOOKUP(ROW('Input Harian'!$B$5:$B$104),
                               ROW('Input Harian'!$B$5:$B$104)/('Input Harian'!$B$5:$B$104&lt;&gt;""),
                               'Input Harian'!$B$5:$B$104),
                        'Input Harian'!$B$5:$B$104),
        $B22,
        'Input Harian'!$D$5:$D$104,"*"&amp;H$4&amp;"*")</f>
        <v>0</v>
      </c>
      <c r="I22" s="39">
        <f t="array" ref="I22">SUMIFS('Input Harian'!$F$5:$F$104,
        IF('Input Harian'!$B$5:$B$104="",
                        LOOKUP(ROW('Input Harian'!$B$5:$B$104),
                               ROW('Input Harian'!$B$5:$B$104)/('Input Harian'!$B$5:$B$104&lt;&gt;""),
                               'Input Harian'!$B$5:$B$104),
                        'Input Harian'!$B$5:$B$104),
        $B22,
        'Input Harian'!$D$5:$D$104,"*"&amp;I$4&amp;"*")</f>
        <v>0</v>
      </c>
      <c r="J22" s="40">
        <f t="shared" si="1"/>
        <v>0</v>
      </c>
    </row>
    <row r="23" ht="15.75" customHeight="1">
      <c r="B23" s="38">
        <v>30.0</v>
      </c>
      <c r="C23" s="41" t="s">
        <v>54</v>
      </c>
      <c r="D23" s="39">
        <f t="array" ref="D23">SUMIFS('Input Harian'!$F$5:$F$104,
        IF('Input Harian'!$B$5:$B$104="",
                        LOOKUP(ROW('Input Harian'!$B$5:$B$104),
                               ROW('Input Harian'!$B$5:$B$104)/('Input Harian'!$B$5:$B$104&lt;&gt;""),
                               'Input Harian'!$B$5:$B$104),
                        'Input Harian'!$B$5:$B$104),
        $B23,
        'Input Harian'!$D$5:$D$104,"*"&amp;D$4&amp;"*")</f>
        <v>0</v>
      </c>
      <c r="E23" s="39">
        <f t="array" ref="E23">SUMIFS('Input Harian'!$F$5:$F$104,
        IF('Input Harian'!$B$5:$B$104="",
                        LOOKUP(ROW('Input Harian'!$B$5:$B$104),
                               ROW('Input Harian'!$B$5:$B$104)/('Input Harian'!$B$5:$B$104&lt;&gt;""),
                               'Input Harian'!$B$5:$B$104),
                        'Input Harian'!$B$5:$B$104),
        $B23,
        'Input Harian'!$D$5:$D$104,"*"&amp;E$4&amp;"*")</f>
        <v>0</v>
      </c>
      <c r="F23" s="39">
        <f t="array" ref="F23">SUMIFS('Input Harian'!$F$5:$F$104,
        IF('Input Harian'!$B$5:$B$104="",
                        LOOKUP(ROW('Input Harian'!$B$5:$B$104),
                               ROW('Input Harian'!$B$5:$B$104)/('Input Harian'!$B$5:$B$104&lt;&gt;""),
                               'Input Harian'!$B$5:$B$104),
                        'Input Harian'!$B$5:$B$104),
        $B23,
        'Input Harian'!$D$5:$D$104,"*Belanja*")</f>
        <v>0</v>
      </c>
      <c r="G23" s="39">
        <f t="array" ref="G23">SUMIFS('Input Harian'!$F$5:$F$104,
        IF('Input Harian'!$B$5:$B$104="",
                        LOOKUP(ROW('Input Harian'!$B$5:$B$104),
                               ROW('Input Harian'!$B$5:$B$104)/('Input Harian'!$B$5:$B$104&lt;&gt;""),
                               'Input Harian'!$B$5:$B$104),
                        'Input Harian'!$B$5:$B$104),
        $B23,
        'Input Harian'!$D$5:$D$104,"*"&amp;G$4&amp;"*")</f>
        <v>0</v>
      </c>
      <c r="H23" s="39">
        <f t="array" ref="H23">SUMIFS('Input Harian'!$F$5:$F$104,
        IF('Input Harian'!$B$5:$B$104="",
                        LOOKUP(ROW('Input Harian'!$B$5:$B$104),
                               ROW('Input Harian'!$B$5:$B$104)/('Input Harian'!$B$5:$B$104&lt;&gt;""),
                               'Input Harian'!$B$5:$B$104),
                        'Input Harian'!$B$5:$B$104),
        $B23,
        'Input Harian'!$D$5:$D$104,"*"&amp;H$4&amp;"*")</f>
        <v>0</v>
      </c>
      <c r="I23" s="39">
        <f t="array" ref="I23">SUMIFS('Input Harian'!$F$5:$F$104,
        IF('Input Harian'!$B$5:$B$104="",
                        LOOKUP(ROW('Input Harian'!$B$5:$B$104),
                               ROW('Input Harian'!$B$5:$B$104)/('Input Harian'!$B$5:$B$104&lt;&gt;""),
                               'Input Harian'!$B$5:$B$104),
                        'Input Harian'!$B$5:$B$104),
        $B23,
        'Input Harian'!$D$5:$D$104,"*"&amp;I$4&amp;"*")</f>
        <v>0</v>
      </c>
      <c r="J23" s="40">
        <f t="shared" si="1"/>
        <v>0</v>
      </c>
    </row>
    <row r="24" ht="15.75" customHeight="1">
      <c r="B24" s="37">
        <v>31.0</v>
      </c>
      <c r="C24" s="41" t="s">
        <v>55</v>
      </c>
      <c r="D24" s="39">
        <f t="array" ref="D24">SUMIFS('Input Harian'!$F$5:$F$104,
        IF('Input Harian'!$B$5:$B$104="",
                        LOOKUP(ROW('Input Harian'!$B$5:$B$104),
                               ROW('Input Harian'!$B$5:$B$104)/('Input Harian'!$B$5:$B$104&lt;&gt;""),
                               'Input Harian'!$B$5:$B$104),
                        'Input Harian'!$B$5:$B$104),
        $B24,
        'Input Harian'!$D$5:$D$104,"*"&amp;D$4&amp;"*")</f>
        <v>0</v>
      </c>
      <c r="E24" s="39">
        <f t="array" ref="E24">SUMIFS('Input Harian'!$F$5:$F$104,
        IF('Input Harian'!$B$5:$B$104="",
                        LOOKUP(ROW('Input Harian'!$B$5:$B$104),
                               ROW('Input Harian'!$B$5:$B$104)/('Input Harian'!$B$5:$B$104&lt;&gt;""),
                               'Input Harian'!$B$5:$B$104),
                        'Input Harian'!$B$5:$B$104),
        $B24,
        'Input Harian'!$D$5:$D$104,"*"&amp;E$4&amp;"*")</f>
        <v>20000</v>
      </c>
      <c r="F24" s="39">
        <f t="array" ref="F24">SUMIFS('Input Harian'!$F$5:$F$104,
        IF('Input Harian'!$B$5:$B$104="",
                        LOOKUP(ROW('Input Harian'!$B$5:$B$104),
                               ROW('Input Harian'!$B$5:$B$104)/('Input Harian'!$B$5:$B$104&lt;&gt;""),
                               'Input Harian'!$B$5:$B$104),
                        'Input Harian'!$B$5:$B$104),
        $B24,
        'Input Harian'!$D$5:$D$104,"*Belanja*")</f>
        <v>0</v>
      </c>
      <c r="G24" s="39">
        <f t="array" ref="G24">SUMIFS('Input Harian'!$F$5:$F$104,
        IF('Input Harian'!$B$5:$B$104="",
                        LOOKUP(ROW('Input Harian'!$B$5:$B$104),
                               ROW('Input Harian'!$B$5:$B$104)/('Input Harian'!$B$5:$B$104&lt;&gt;""),
                               'Input Harian'!$B$5:$B$104),
                        'Input Harian'!$B$5:$B$104),
        $B24,
        'Input Harian'!$D$5:$D$104,"*"&amp;G$4&amp;"*")</f>
        <v>0</v>
      </c>
      <c r="H24" s="39">
        <f t="array" ref="H24">SUMIFS('Input Harian'!$F$5:$F$104,
        IF('Input Harian'!$B$5:$B$104="",
                        LOOKUP(ROW('Input Harian'!$B$5:$B$104),
                               ROW('Input Harian'!$B$5:$B$104)/('Input Harian'!$B$5:$B$104&lt;&gt;""),
                               'Input Harian'!$B$5:$B$104),
                        'Input Harian'!$B$5:$B$104),
        $B24,
        'Input Harian'!$D$5:$D$104,"*"&amp;H$4&amp;"*")</f>
        <v>0</v>
      </c>
      <c r="I24" s="39">
        <f t="array" ref="I24">SUMIFS('Input Harian'!$F$5:$F$104,
        IF('Input Harian'!$B$5:$B$104="",
                        LOOKUP(ROW('Input Harian'!$B$5:$B$104),
                               ROW('Input Harian'!$B$5:$B$104)/('Input Harian'!$B$5:$B$104&lt;&gt;""),
                               'Input Harian'!$B$5:$B$104),
                        'Input Harian'!$B$5:$B$104),
        $B24,
        'Input Harian'!$D$5:$D$104,"*"&amp;I$4&amp;"*")</f>
        <v>0</v>
      </c>
      <c r="J24" s="40">
        <f t="shared" si="1"/>
        <v>20000</v>
      </c>
    </row>
    <row r="25" ht="15.75" customHeight="1">
      <c r="B25" s="42" t="s">
        <v>78</v>
      </c>
      <c r="C25" s="43"/>
      <c r="D25" s="44">
        <f t="shared" ref="D25:J25" si="2">SUM(D5:D24)</f>
        <v>347000</v>
      </c>
      <c r="E25" s="44">
        <f t="shared" si="2"/>
        <v>169000</v>
      </c>
      <c r="F25" s="44">
        <f t="shared" si="2"/>
        <v>9000</v>
      </c>
      <c r="G25" s="44">
        <f t="shared" si="2"/>
        <v>38500</v>
      </c>
      <c r="H25" s="44">
        <f t="shared" si="2"/>
        <v>0</v>
      </c>
      <c r="I25" s="44">
        <f t="shared" si="2"/>
        <v>71000</v>
      </c>
      <c r="J25" s="44">
        <f t="shared" si="2"/>
        <v>634500</v>
      </c>
    </row>
    <row r="26" ht="15.75" customHeight="1">
      <c r="B26" s="45" t="s">
        <v>79</v>
      </c>
      <c r="C26" s="43"/>
      <c r="D26" s="46">
        <f t="shared" ref="D26:J26" si="3">D25/20</f>
        <v>17350</v>
      </c>
      <c r="E26" s="46">
        <f t="shared" si="3"/>
        <v>8450</v>
      </c>
      <c r="F26" s="46">
        <f t="shared" si="3"/>
        <v>450</v>
      </c>
      <c r="G26" s="46">
        <f t="shared" si="3"/>
        <v>1925</v>
      </c>
      <c r="H26" s="46">
        <f t="shared" si="3"/>
        <v>0</v>
      </c>
      <c r="I26" s="46">
        <f t="shared" si="3"/>
        <v>3550</v>
      </c>
      <c r="J26" s="46">
        <f t="shared" si="3"/>
        <v>31725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mergeCells count="3">
    <mergeCell ref="B2:J2"/>
    <mergeCell ref="B25:C25"/>
    <mergeCell ref="B26:C26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28.0"/>
    <col customWidth="1" min="3" max="3" width="16.0"/>
    <col customWidth="1" min="4" max="4" width="14.0"/>
    <col customWidth="1" min="5" max="5" width="16.0"/>
    <col customWidth="1" min="6" max="6" width="14.0"/>
    <col customWidth="1" min="7" max="26" width="8.71"/>
  </cols>
  <sheetData>
    <row r="2" ht="30.0" customHeight="1">
      <c r="B2" s="8" t="s">
        <v>80</v>
      </c>
    </row>
    <row r="4">
      <c r="B4" s="9" t="s">
        <v>32</v>
      </c>
      <c r="C4" s="9" t="s">
        <v>81</v>
      </c>
      <c r="D4" s="9" t="s">
        <v>82</v>
      </c>
      <c r="E4" s="9" t="s">
        <v>83</v>
      </c>
      <c r="F4" s="9" t="s">
        <v>84</v>
      </c>
    </row>
    <row r="5">
      <c r="B5" s="47" t="s">
        <v>39</v>
      </c>
      <c r="C5" s="48">
        <f>'Rekap Harian'!D25</f>
        <v>347000</v>
      </c>
      <c r="D5" s="49">
        <f t="shared" ref="D5:D10" si="1">IF($C$11=0,0,C5/$C$11)</f>
        <v>0.5468873128</v>
      </c>
      <c r="E5" s="48">
        <f t="shared" ref="E5:E6" si="2">C5/18</f>
        <v>19277.77778</v>
      </c>
      <c r="F5" s="38">
        <f>COUNTIFS('Input Harian'!$D$5:$D$104,"Makanan",'Input Harian'!$F$5:$F$104,"&gt;0")</f>
        <v>18</v>
      </c>
    </row>
    <row r="6">
      <c r="B6" s="47" t="s">
        <v>42</v>
      </c>
      <c r="C6" s="48">
        <f>'Rekap Harian'!E25</f>
        <v>169000</v>
      </c>
      <c r="D6" s="49">
        <f t="shared" si="1"/>
        <v>0.2663514578</v>
      </c>
      <c r="E6" s="48">
        <f t="shared" si="2"/>
        <v>9388.888889</v>
      </c>
      <c r="F6" s="38">
        <f>COUNTIFS('Input Harian'!$D$5:$D$104,"Transportasi",'Input Harian'!$F$5:$F$104,"&gt;0")</f>
        <v>10</v>
      </c>
    </row>
    <row r="7">
      <c r="B7" s="47" t="s">
        <v>66</v>
      </c>
      <c r="C7" s="48">
        <f>'Rekap Harian'!F25</f>
        <v>9000</v>
      </c>
      <c r="D7" s="49">
        <f t="shared" si="1"/>
        <v>0.01418439716</v>
      </c>
      <c r="E7" s="48">
        <f t="shared" ref="E7:E10" si="3">C7/30</f>
        <v>300</v>
      </c>
      <c r="F7" s="38">
        <f>COUNTIFS('Input Harian'!$D$5:$D$104,"Belanja",'Input Harian'!$F$5:$F$104,"&gt;0")</f>
        <v>1</v>
      </c>
    </row>
    <row r="8">
      <c r="B8" s="47" t="s">
        <v>59</v>
      </c>
      <c r="C8" s="48">
        <f>'Rekap Harian'!G25</f>
        <v>38500</v>
      </c>
      <c r="D8" s="49">
        <f t="shared" si="1"/>
        <v>0.06067769898</v>
      </c>
      <c r="E8" s="48">
        <f t="shared" si="3"/>
        <v>1283.333333</v>
      </c>
      <c r="F8" s="38">
        <f>COUNTIFS('Input Harian'!$D$5:$D$104,"Hiburan",'Input Harian'!$F$5:$F$104,"&gt;0")</f>
        <v>2</v>
      </c>
    </row>
    <row r="9">
      <c r="B9" s="47" t="s">
        <v>85</v>
      </c>
      <c r="C9" s="48">
        <f>'Rekap Harian'!H25</f>
        <v>0</v>
      </c>
      <c r="D9" s="49">
        <f t="shared" si="1"/>
        <v>0</v>
      </c>
      <c r="E9" s="48">
        <f t="shared" si="3"/>
        <v>0</v>
      </c>
      <c r="F9" s="38">
        <f>COUNTIFS('Input Harian'!$D$5:$D$104,"Tagihan (Listrik/Air/Internet)",'Input Harian'!$F$5:$F$104,"&gt;0")</f>
        <v>0</v>
      </c>
    </row>
    <row r="10">
      <c r="B10" s="47" t="s">
        <v>37</v>
      </c>
      <c r="C10" s="48">
        <f>'Rekap Harian'!I25</f>
        <v>71000</v>
      </c>
      <c r="D10" s="49">
        <f t="shared" si="1"/>
        <v>0.1118991332</v>
      </c>
      <c r="E10" s="48">
        <f t="shared" si="3"/>
        <v>2366.666667</v>
      </c>
      <c r="F10" s="38">
        <f>COUNTIFS('Input Harian'!$D$5:$D$104,"Lainnya",'Input Harian'!$F$5:$F$104,"&gt;0")</f>
        <v>9</v>
      </c>
    </row>
    <row r="11">
      <c r="B11" s="9" t="s">
        <v>78</v>
      </c>
      <c r="C11" s="50">
        <f>SUM(C5:C10)</f>
        <v>634500</v>
      </c>
      <c r="D11" s="44" t="s">
        <v>86</v>
      </c>
      <c r="E11" s="44">
        <f t="shared" ref="E11:F11" si="4">SUM(E5:E10)</f>
        <v>32616.66667</v>
      </c>
      <c r="F11" s="51">
        <f t="shared" si="4"/>
        <v>40</v>
      </c>
    </row>
    <row r="14">
      <c r="B14" s="4" t="s">
        <v>87</v>
      </c>
    </row>
    <row r="15">
      <c r="B15" s="9" t="s">
        <v>32</v>
      </c>
      <c r="C15" s="9" t="s">
        <v>88</v>
      </c>
      <c r="D15" s="9" t="s">
        <v>89</v>
      </c>
      <c r="E15" s="9" t="s">
        <v>90</v>
      </c>
      <c r="F15" s="9" t="s">
        <v>91</v>
      </c>
    </row>
    <row r="16">
      <c r="B16" s="47" t="s">
        <v>39</v>
      </c>
      <c r="C16" s="14">
        <v>300000.0</v>
      </c>
      <c r="D16" s="48">
        <f t="shared" ref="D16:D21" si="5">C5</f>
        <v>347000</v>
      </c>
      <c r="E16" s="48">
        <f t="shared" ref="E16:E21" si="6">C16-D16</f>
        <v>-47000</v>
      </c>
      <c r="F16" s="49">
        <f t="shared" ref="F16:F21" si="7">IF(C16=0,0,D16/C16)</f>
        <v>1.156666667</v>
      </c>
    </row>
    <row r="17">
      <c r="B17" s="47" t="s">
        <v>42</v>
      </c>
      <c r="C17" s="14">
        <v>300000.0</v>
      </c>
      <c r="D17" s="48">
        <f t="shared" si="5"/>
        <v>169000</v>
      </c>
      <c r="E17" s="48">
        <f t="shared" si="6"/>
        <v>131000</v>
      </c>
      <c r="F17" s="49">
        <f t="shared" si="7"/>
        <v>0.5633333333</v>
      </c>
    </row>
    <row r="18">
      <c r="B18" s="47" t="s">
        <v>66</v>
      </c>
      <c r="C18" s="20">
        <v>0.0</v>
      </c>
      <c r="D18" s="48">
        <f t="shared" si="5"/>
        <v>9000</v>
      </c>
      <c r="E18" s="48">
        <f t="shared" si="6"/>
        <v>-9000</v>
      </c>
      <c r="F18" s="49">
        <f t="shared" si="7"/>
        <v>0</v>
      </c>
    </row>
    <row r="19" ht="15.75" customHeight="1">
      <c r="B19" s="47" t="s">
        <v>59</v>
      </c>
      <c r="C19" s="20">
        <v>100000.0</v>
      </c>
      <c r="D19" s="48">
        <f t="shared" si="5"/>
        <v>38500</v>
      </c>
      <c r="E19" s="48">
        <f t="shared" si="6"/>
        <v>61500</v>
      </c>
      <c r="F19" s="49">
        <f t="shared" si="7"/>
        <v>0.385</v>
      </c>
    </row>
    <row r="20" ht="15.75" customHeight="1">
      <c r="B20" s="47" t="s">
        <v>85</v>
      </c>
      <c r="C20" s="20">
        <v>0.0</v>
      </c>
      <c r="D20" s="48">
        <f t="shared" si="5"/>
        <v>0</v>
      </c>
      <c r="E20" s="48">
        <f t="shared" si="6"/>
        <v>0</v>
      </c>
      <c r="F20" s="49">
        <f t="shared" si="7"/>
        <v>0</v>
      </c>
    </row>
    <row r="21" ht="15.75" customHeight="1">
      <c r="B21" s="47" t="s">
        <v>37</v>
      </c>
      <c r="C21" s="20">
        <v>20000.0</v>
      </c>
      <c r="D21" s="48">
        <f t="shared" si="5"/>
        <v>71000</v>
      </c>
      <c r="E21" s="48">
        <f t="shared" si="6"/>
        <v>-51000</v>
      </c>
      <c r="F21" s="49">
        <f t="shared" si="7"/>
        <v>3.55</v>
      </c>
    </row>
    <row r="22" ht="15.75" customHeight="1">
      <c r="B22" s="9" t="s">
        <v>78</v>
      </c>
      <c r="C22" s="50">
        <f t="shared" ref="C22:F22" si="8">SUM(C16:C21)</f>
        <v>720000</v>
      </c>
      <c r="D22" s="50">
        <f t="shared" si="8"/>
        <v>634500</v>
      </c>
      <c r="E22" s="50">
        <f t="shared" si="8"/>
        <v>85500</v>
      </c>
      <c r="F22" s="52">
        <f t="shared" si="8"/>
        <v>5.655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1">
    <mergeCell ref="B2:F2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6" width="8.71"/>
  </cols>
  <sheetData>
    <row r="2" ht="30.0" customHeight="1">
      <c r="B2" s="8" t="s">
        <v>92</v>
      </c>
    </row>
    <row r="4">
      <c r="B4" s="53" t="s">
        <v>93</v>
      </c>
      <c r="N4" s="53" t="s">
        <v>94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>
      <c r="B26" s="53" t="s">
        <v>95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2:V2"/>
    <mergeCell ref="B4:L4"/>
    <mergeCell ref="N4:V4"/>
    <mergeCell ref="B26:V26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2026-04-14T01:29:42Z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